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972ED0A1-F73A-49A2-B8FB-13C408FB683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sumen Financiero" sheetId="1" r:id="rId1"/>
    <sheet name="Deudores" sheetId="2" r:id="rId2"/>
    <sheet name="Inventario" sheetId="3" r:id="rId3"/>
    <sheet name="Ventas" sheetId="4" r:id="rId4"/>
    <sheet name="Compras" sheetId="5" r:id="rId5"/>
  </sheets>
  <calcPr calcId="191029"/>
</workbook>
</file>

<file path=xl/calcChain.xml><?xml version="1.0" encoding="utf-8"?>
<calcChain xmlns="http://schemas.openxmlformats.org/spreadsheetml/2006/main">
  <c r="E67" i="4" l="1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B4" i="2" s="1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C16" i="2"/>
  <c r="B16" i="2"/>
  <c r="C15" i="2"/>
  <c r="B15" i="2"/>
  <c r="C14" i="2"/>
  <c r="B14" i="2"/>
  <c r="C13" i="2"/>
  <c r="B13" i="2"/>
  <c r="C12" i="2"/>
  <c r="B12" i="2"/>
  <c r="C11" i="2"/>
  <c r="C10" i="2"/>
  <c r="B10" i="2"/>
  <c r="C9" i="2"/>
  <c r="B9" i="2"/>
  <c r="C8" i="2"/>
  <c r="B8" i="2"/>
  <c r="C7" i="2"/>
  <c r="B7" i="2"/>
  <c r="C6" i="2"/>
  <c r="B6" i="2"/>
  <c r="C5" i="2"/>
  <c r="B5" i="2"/>
  <c r="C4" i="2"/>
  <c r="B4" i="1"/>
  <c r="H9" i="3"/>
  <c r="H8" i="3"/>
  <c r="I8" i="3" s="1"/>
  <c r="D8" i="3"/>
  <c r="F8" i="3" s="1"/>
  <c r="H7" i="3"/>
  <c r="I7" i="3" s="1"/>
  <c r="F7" i="3"/>
  <c r="D7" i="3"/>
  <c r="H6" i="3"/>
  <c r="I6" i="3" s="1"/>
  <c r="D6" i="3"/>
  <c r="F6" i="3" s="1"/>
  <c r="H5" i="3"/>
  <c r="I5" i="3" s="1"/>
  <c r="F5" i="3"/>
  <c r="D5" i="3"/>
  <c r="H4" i="3"/>
  <c r="I4" i="3" s="1"/>
  <c r="D4" i="3"/>
  <c r="F4" i="3" s="1"/>
  <c r="B6" i="1" l="1"/>
  <c r="B5" i="1"/>
  <c r="D16" i="2"/>
  <c r="E16" i="2" s="1"/>
  <c r="D15" i="2"/>
  <c r="E15" i="2" s="1"/>
  <c r="B11" i="2"/>
  <c r="D11" i="2" s="1"/>
  <c r="E11" i="2" s="1"/>
  <c r="D4" i="2"/>
  <c r="E4" i="2" s="1"/>
  <c r="D12" i="2"/>
  <c r="E12" i="2" s="1"/>
  <c r="D6" i="2"/>
  <c r="E6" i="2" s="1"/>
  <c r="D5" i="2"/>
  <c r="E5" i="2" s="1"/>
  <c r="D9" i="2"/>
  <c r="E9" i="2" s="1"/>
  <c r="D13" i="2"/>
  <c r="E13" i="2" s="1"/>
  <c r="D14" i="2"/>
  <c r="E14" i="2" s="1"/>
  <c r="D8" i="2"/>
  <c r="E8" i="2" s="1"/>
  <c r="D7" i="2"/>
  <c r="E7" i="2" s="1"/>
  <c r="D10" i="2"/>
  <c r="E10" i="2" s="1"/>
  <c r="B8" i="1"/>
  <c r="D9" i="3"/>
  <c r="F9" i="3" s="1"/>
  <c r="B7" i="1" l="1"/>
  <c r="H8" i="2"/>
</calcChain>
</file>

<file path=xl/sharedStrings.xml><?xml version="1.0" encoding="utf-8"?>
<sst xmlns="http://schemas.openxmlformats.org/spreadsheetml/2006/main" count="250" uniqueCount="95">
  <si>
    <t>CONTROL DE INVENTARIO AUTOMÁTICO Y COSTOS</t>
  </si>
  <si>
    <t>Producto</t>
  </si>
  <si>
    <t>Costo Lote</t>
  </si>
  <si>
    <t>Unds Lote</t>
  </si>
  <si>
    <t>Costo x Und</t>
  </si>
  <si>
    <t>Precio Venta</t>
  </si>
  <si>
    <t>Ganancia x Und</t>
  </si>
  <si>
    <t>Stock Inicial</t>
  </si>
  <si>
    <t>Vendidas</t>
  </si>
  <si>
    <t>Stock Actual</t>
  </si>
  <si>
    <t>Chocolates (Lote 1)</t>
  </si>
  <si>
    <t>Chocolates (Lote 2)</t>
  </si>
  <si>
    <t>Galletas (Paquete)</t>
  </si>
  <si>
    <t>Mayonesa Mediana</t>
  </si>
  <si>
    <t>Diablitos Grandes</t>
  </si>
  <si>
    <t>Combo Arepero (Mayo+Diab)</t>
  </si>
  <si>
    <t>-</t>
  </si>
  <si>
    <t>LA TIENDA DEL GOCHO - RESUMEN FINANCIERO</t>
  </si>
  <si>
    <t>Métrica</t>
  </si>
  <si>
    <t>Valor</t>
  </si>
  <si>
    <t>Descripción</t>
  </si>
  <si>
    <t>Total Inversión (Egresos)</t>
  </si>
  <si>
    <t>Todo el dinero invertido en mercancía y base.</t>
  </si>
  <si>
    <t>Total Cobrado (En Mano)</t>
  </si>
  <si>
    <t>Dinero real en caja (Ventas pagadas + abonos de pendientes).</t>
  </si>
  <si>
    <t>Total Fiado (Por Cobrar)</t>
  </si>
  <si>
    <t>Dinero que te deben (Total a cobrar de pendientes menos sus abonos).</t>
  </si>
  <si>
    <t>Ventas Totales (Progreso)</t>
  </si>
  <si>
    <t>Suma del valor total de todas las ventas.</t>
  </si>
  <si>
    <t>Ganancia Total Proyectada</t>
  </si>
  <si>
    <t>Ganancia total acumulada según las unidades vendidas.</t>
  </si>
  <si>
    <t>CONTROL DE CUENTAS POR COBRAR (DEUDORES)</t>
  </si>
  <si>
    <t>Cliente (Escribe el nombre)</t>
  </si>
  <si>
    <t>Deuda Bruta</t>
  </si>
  <si>
    <t>Total Abonado</t>
  </si>
  <si>
    <t>Saldo Pendiente</t>
  </si>
  <si>
    <t>Estado</t>
  </si>
  <si>
    <t>Camila</t>
  </si>
  <si>
    <t>Darling</t>
  </si>
  <si>
    <t>Fabian</t>
  </si>
  <si>
    <t>Faysuri</t>
  </si>
  <si>
    <t>Julian</t>
  </si>
  <si>
    <t>Michell</t>
  </si>
  <si>
    <t>Motato</t>
  </si>
  <si>
    <t>Nando</t>
  </si>
  <si>
    <t>Nikolee</t>
  </si>
  <si>
    <t>Santiago</t>
  </si>
  <si>
    <t>Yerimar</t>
  </si>
  <si>
    <t>REGISTRO DIARIO DE VENTAS</t>
  </si>
  <si>
    <t>Fecha</t>
  </si>
  <si>
    <t>Cliente</t>
  </si>
  <si>
    <t>Cantidad</t>
  </si>
  <si>
    <t>Total Cobrar</t>
  </si>
  <si>
    <t>Abono</t>
  </si>
  <si>
    <t>10/06/2026</t>
  </si>
  <si>
    <t>Mamá</t>
  </si>
  <si>
    <t>Pagado</t>
  </si>
  <si>
    <t>itza</t>
  </si>
  <si>
    <t>ender</t>
  </si>
  <si>
    <t>Emanuel</t>
  </si>
  <si>
    <t>faysuri</t>
  </si>
  <si>
    <t>Pendiente</t>
  </si>
  <si>
    <t>Manuel</t>
  </si>
  <si>
    <t>julian</t>
  </si>
  <si>
    <t>santiago</t>
  </si>
  <si>
    <t>14/06/2026</t>
  </si>
  <si>
    <t>Rene</t>
  </si>
  <si>
    <t>15/06/2026</t>
  </si>
  <si>
    <t>16/06/2026</t>
  </si>
  <si>
    <t>Jackson</t>
  </si>
  <si>
    <t>Ricardo</t>
  </si>
  <si>
    <t>Jherson</t>
  </si>
  <si>
    <t>reina</t>
  </si>
  <si>
    <t>nando</t>
  </si>
  <si>
    <t>nikol Yañez</t>
  </si>
  <si>
    <t>Kevin Arevalo</t>
  </si>
  <si>
    <t>fabian</t>
  </si>
  <si>
    <t>angely</t>
  </si>
  <si>
    <t>nikolee</t>
  </si>
  <si>
    <t>camila</t>
  </si>
  <si>
    <t>gabriel</t>
  </si>
  <si>
    <t>REGISTRO DE COMPRAS E INVERSIONES</t>
  </si>
  <si>
    <t>Monto</t>
  </si>
  <si>
    <t>Inversión Inicial</t>
  </si>
  <si>
    <t>Compra Mayonesas</t>
  </si>
  <si>
    <t>Compra Diablitos</t>
  </si>
  <si>
    <t>18/06/2026</t>
  </si>
  <si>
    <t>Compra 4 cajas Chocolates Lote 2</t>
  </si>
  <si>
    <t>Alejandro</t>
  </si>
  <si>
    <t>luis</t>
  </si>
  <si>
    <t>sambas</t>
  </si>
  <si>
    <t>palitos</t>
  </si>
  <si>
    <t>Jhoani</t>
  </si>
  <si>
    <t>Pabon</t>
  </si>
  <si>
    <t>nikol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</si>
</sst>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right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6" borderId="2" xfId="0" applyFont="1" applyFill="1" applyBorder="1"/>
    <xf numFmtId="164" fontId="3" fillId="6" borderId="2" xfId="0" applyNumberFormat="1" applyFont="1" applyFill="1" applyBorder="1" applyAlignment="1">
      <alignment horizontal="right" vertical="center"/>
    </xf>
    <xf numFmtId="164" fontId="4" fillId="6" borderId="2" xfId="0" applyNumberFormat="1" applyFont="1" applyFill="1" applyBorder="1" applyAlignment="1">
      <alignment horizontal="right" vertical="center"/>
    </xf>
    <xf numFmtId="0" fontId="3" fillId="6" borderId="2" xfId="0" applyFont="1" applyFill="1" applyBorder="1" applyAlignment="1">
      <alignment horizontal="center" vertical="center"/>
    </xf>
    <xf numFmtId="164" fontId="0" fillId="0" borderId="0" xfId="0" applyNumberFormat="1"/>
    <xf numFmtId="0" fontId="5" fillId="5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Distribución del Flujo de Caja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prstDash val="solid"/>
            </a:ln>
          </c:spPr>
          <c:invertIfNegative val="0"/>
          <c:cat>
            <c:strRef>
              <c:f>'Resumen Financiero'!$A$4:$A$6</c:f>
              <c:strCache>
                <c:ptCount val="3"/>
                <c:pt idx="0">
                  <c:v>Total Inversión (Egresos)</c:v>
                </c:pt>
                <c:pt idx="1">
                  <c:v>Total Cobrado (En Mano)</c:v>
                </c:pt>
                <c:pt idx="2">
                  <c:v>Total Fiado (Por Cobrar)</c:v>
                </c:pt>
              </c:strCache>
            </c:strRef>
          </c:cat>
          <c:val>
            <c:numRef>
              <c:f>'Resumen Financiero'!$B$4:$B$6</c:f>
              <c:numCache>
                <c:formatCode>\$#,##0</c:formatCode>
                <c:ptCount val="3"/>
                <c:pt idx="0">
                  <c:v>646500</c:v>
                </c:pt>
                <c:pt idx="1">
                  <c:v>331000</c:v>
                </c:pt>
                <c:pt idx="2">
                  <c:v>189000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8A-49DB-9920-2FD6BAB8E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Métricas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Monto ($)</a:t>
                </a:r>
              </a:p>
            </c:rich>
          </c:tx>
          <c:overlay val="0"/>
        </c:title>
        <c:numFmt formatCode="\$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576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pane ySplit="3" topLeftCell="A4" activePane="bottomLeft" state="frozen"/>
      <selection pane="bottomLeft" activeCell="B15" sqref="B15"/>
    </sheetView>
  </sheetViews>
  <sheetFormatPr baseColWidth="10" defaultColWidth="8.88671875" defaultRowHeight="14.4" x14ac:dyDescent="0.3"/>
  <cols>
    <col min="1" max="1" width="29" customWidth="1"/>
    <col min="2" max="2" width="108" customWidth="1"/>
    <col min="3" max="3" width="72" customWidth="1"/>
  </cols>
  <sheetData>
    <row r="1" spans="1:3" ht="40.049999999999997" customHeight="1" x14ac:dyDescent="0.3">
      <c r="A1" s="26" t="s">
        <v>17</v>
      </c>
      <c r="B1" s="25"/>
      <c r="C1" s="25"/>
    </row>
    <row r="3" spans="1:3" ht="25.05" customHeight="1" x14ac:dyDescent="0.3">
      <c r="A3" s="1" t="s">
        <v>18</v>
      </c>
      <c r="B3" s="1" t="s">
        <v>19</v>
      </c>
      <c r="C3" s="1" t="s">
        <v>20</v>
      </c>
    </row>
    <row r="4" spans="1:3" ht="22.05" customHeight="1" x14ac:dyDescent="0.3">
      <c r="A4" s="2" t="s">
        <v>21</v>
      </c>
      <c r="B4" s="3">
        <f>SUM(Compras!C4:C100)</f>
        <v>646500</v>
      </c>
      <c r="C4" s="2" t="s">
        <v>22</v>
      </c>
    </row>
    <row r="5" spans="1:3" ht="22.05" customHeight="1" x14ac:dyDescent="0.3">
      <c r="A5" s="4" t="s">
        <v>23</v>
      </c>
      <c r="B5" s="5">
        <f>SUMIF(Ventas!G4:G99, "Pagado", Ventas!E4:E99) + SUMIF(Ventas!G4:G99, "Pendiente", Ventas!F4:F99)</f>
        <v>331000</v>
      </c>
      <c r="C5" s="4" t="s">
        <v>24</v>
      </c>
    </row>
    <row r="6" spans="1:3" ht="22.05" customHeight="1" x14ac:dyDescent="0.3">
      <c r="A6" s="2" t="s">
        <v>25</v>
      </c>
      <c r="B6" s="3">
        <f>SUMIF(Ventas!G4:G99, "Pendiente", Ventas!E4:E99) - SUMIF(Ventas!G4:G99, "Pendiente", Ventas!F4:F99)</f>
        <v>189000</v>
      </c>
      <c r="C6" s="2" t="s">
        <v>26</v>
      </c>
    </row>
    <row r="7" spans="1:3" ht="22.05" customHeight="1" x14ac:dyDescent="0.3">
      <c r="A7" s="4" t="s">
        <v>27</v>
      </c>
      <c r="B7" s="5">
        <f>B5+B6</f>
        <v>520000</v>
      </c>
      <c r="C7" s="4" t="s">
        <v>28</v>
      </c>
    </row>
    <row r="8" spans="1:3" ht="22.05" customHeight="1" x14ac:dyDescent="0.3">
      <c r="A8" s="6" t="s">
        <v>29</v>
      </c>
      <c r="B8" s="7">
        <f>SUMPRODUCT(Inventario!F4:F9, Inventario!H4:H9)</f>
        <v>155833.33333333334</v>
      </c>
      <c r="C8" s="2" t="s">
        <v>30</v>
      </c>
    </row>
    <row r="12" spans="1:3" x14ac:dyDescent="0.3">
      <c r="B12">
        <v>220</v>
      </c>
    </row>
    <row r="13" spans="1:3" x14ac:dyDescent="0.3">
      <c r="B13">
        <v>120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pane ySplit="3" topLeftCell="A4" activePane="bottomLeft" state="frozen"/>
      <selection pane="bottomLeft" activeCell="H8" sqref="H8"/>
    </sheetView>
  </sheetViews>
  <sheetFormatPr baseColWidth="10" defaultColWidth="8.88671875" defaultRowHeight="14.4" x14ac:dyDescent="0.3"/>
  <cols>
    <col min="1" max="1" width="25" customWidth="1"/>
    <col min="2" max="3" width="18" customWidth="1"/>
    <col min="4" max="4" width="20" customWidth="1"/>
    <col min="5" max="5" width="18" customWidth="1"/>
  </cols>
  <sheetData>
    <row r="1" spans="1:8" ht="40.049999999999997" customHeight="1" x14ac:dyDescent="0.3">
      <c r="A1" s="24" t="s">
        <v>31</v>
      </c>
      <c r="B1" s="25"/>
      <c r="C1" s="25"/>
      <c r="D1" s="25"/>
      <c r="E1" s="25"/>
    </row>
    <row r="3" spans="1:8" ht="25.05" customHeight="1" x14ac:dyDescent="0.3">
      <c r="A3" s="14" t="s">
        <v>32</v>
      </c>
      <c r="B3" s="14" t="s">
        <v>33</v>
      </c>
      <c r="C3" s="14" t="s">
        <v>34</v>
      </c>
      <c r="D3" s="14" t="s">
        <v>35</v>
      </c>
      <c r="E3" s="14" t="s">
        <v>36</v>
      </c>
    </row>
    <row r="4" spans="1:8" x14ac:dyDescent="0.3">
      <c r="A4" s="15" t="s">
        <v>37</v>
      </c>
      <c r="B4" s="16">
        <f>IF(A4="","",SUMIFS(Ventas!E:E, Ventas!B:B, A4, Ventas!G:G, "Pendiente"))</f>
        <v>8000</v>
      </c>
      <c r="C4" s="16">
        <f>IF(A4="","",SUMIFS(Ventas!F:F, Ventas!B:B, A4, Ventas!G:G, "Pendiente"))</f>
        <v>7000</v>
      </c>
      <c r="D4" s="17">
        <f t="shared" ref="D4:D49" si="0">IF(A4="","",B4-C4)</f>
        <v>1000</v>
      </c>
      <c r="E4" s="18" t="str">
        <f t="shared" ref="E4:E49" si="1">IF(A4="","",IF(D4&lt;=0,"Saldado ✅","Por Cobrar ⏳"))</f>
        <v>Por Cobrar ⏳</v>
      </c>
    </row>
    <row r="5" spans="1:8" x14ac:dyDescent="0.3">
      <c r="A5" s="19" t="s">
        <v>38</v>
      </c>
      <c r="B5" s="20">
        <f>IF(A5="","",SUMIFS(Ventas!E:E, Ventas!B:B, A5, Ventas!G:G, "Pendiente"))</f>
        <v>14000</v>
      </c>
      <c r="C5" s="20">
        <f>IF(A5="","",SUMIFS(Ventas!F:F, Ventas!B:B, A5, Ventas!G:G, "Pendiente"))</f>
        <v>6000</v>
      </c>
      <c r="D5" s="21">
        <f t="shared" si="0"/>
        <v>8000</v>
      </c>
      <c r="E5" s="22" t="str">
        <f t="shared" si="1"/>
        <v>Por Cobrar ⏳</v>
      </c>
    </row>
    <row r="6" spans="1:8" x14ac:dyDescent="0.3">
      <c r="A6" s="15" t="s">
        <v>39</v>
      </c>
      <c r="B6" s="16">
        <f>IF(A6="","",SUMIFS(Ventas!E:E, Ventas!B:B, A6, Ventas!G:G, "Pendiente"))</f>
        <v>0</v>
      </c>
      <c r="C6" s="16">
        <f>IF(A6="","",SUMIFS(Ventas!F:F, Ventas!B:B, A6, Ventas!G:G, "Pendiente"))</f>
        <v>0</v>
      </c>
      <c r="D6" s="17">
        <f t="shared" si="0"/>
        <v>0</v>
      </c>
      <c r="E6" s="18" t="str">
        <f t="shared" si="1"/>
        <v>Saldado ✅</v>
      </c>
    </row>
    <row r="7" spans="1:8" x14ac:dyDescent="0.3">
      <c r="A7" s="19" t="s">
        <v>40</v>
      </c>
      <c r="B7" s="20">
        <f>IF(A7="","",SUMIFS(Ventas!E:E, Ventas!B:B, A7, Ventas!G:G, "Pendiente"))</f>
        <v>8000</v>
      </c>
      <c r="C7" s="20">
        <f>IF(A7="","",SUMIFS(Ventas!F:F, Ventas!B:B, A7, Ventas!G:G, "Pendiente"))</f>
        <v>0</v>
      </c>
      <c r="D7" s="21">
        <f t="shared" si="0"/>
        <v>8000</v>
      </c>
      <c r="E7" s="22" t="str">
        <f t="shared" si="1"/>
        <v>Por Cobrar ⏳</v>
      </c>
    </row>
    <row r="8" spans="1:8" x14ac:dyDescent="0.3">
      <c r="A8" s="15" t="s">
        <v>41</v>
      </c>
      <c r="B8" s="16">
        <f>IF(A8="","",SUMIFS(Ventas!E:E, Ventas!B:B, A8, Ventas!G:G, "Pendiente"))</f>
        <v>18000</v>
      </c>
      <c r="C8" s="16">
        <f>IF(A8="","",SUMIFS(Ventas!F:F, Ventas!B:B, A8, Ventas!G:G, "Pendiente"))</f>
        <v>0</v>
      </c>
      <c r="D8" s="17">
        <f t="shared" si="0"/>
        <v>18000</v>
      </c>
      <c r="E8" s="18" t="str">
        <f t="shared" si="1"/>
        <v>Por Cobrar ⏳</v>
      </c>
      <c r="H8" s="23">
        <f>SUM(D4:D26)</f>
        <v>189000</v>
      </c>
    </row>
    <row r="9" spans="1:8" x14ac:dyDescent="0.3">
      <c r="A9" s="19" t="s">
        <v>42</v>
      </c>
      <c r="B9" s="20">
        <f>IF(A9="","",SUMIFS(Ventas!E:E, Ventas!B:B, A9, Ventas!G:G, "Pendiente"))</f>
        <v>69000</v>
      </c>
      <c r="C9" s="20">
        <f>IF(A9="","",SUMIFS(Ventas!F:F, Ventas!B:B, A9, Ventas!G:G, "Pendiente"))</f>
        <v>0</v>
      </c>
      <c r="D9" s="21">
        <f t="shared" si="0"/>
        <v>69000</v>
      </c>
      <c r="E9" s="22" t="str">
        <f t="shared" si="1"/>
        <v>Por Cobrar ⏳</v>
      </c>
    </row>
    <row r="10" spans="1:8" x14ac:dyDescent="0.3">
      <c r="A10" s="15" t="s">
        <v>43</v>
      </c>
      <c r="B10" s="16">
        <f>IF(A10="","",SUMIFS(Ventas!E:E, Ventas!B:B, A10, Ventas!G:G, "Pendiente"))</f>
        <v>0</v>
      </c>
      <c r="C10" s="16">
        <f>IF(A10="","",SUMIFS(Ventas!F:F, Ventas!B:B, A10, Ventas!G:G, "Pendiente"))</f>
        <v>0</v>
      </c>
      <c r="D10" s="17">
        <f t="shared" si="0"/>
        <v>0</v>
      </c>
      <c r="E10" s="18" t="str">
        <f t="shared" si="1"/>
        <v>Saldado ✅</v>
      </c>
    </row>
    <row r="11" spans="1:8" x14ac:dyDescent="0.3">
      <c r="A11" s="19" t="s">
        <v>44</v>
      </c>
      <c r="B11" s="20">
        <f>IF(A11="","",SUMIFS(Ventas!E:E, Ventas!B:B, A11, Ventas!G:G, "Pendiente"))</f>
        <v>8000</v>
      </c>
      <c r="C11" s="20">
        <f>IF(A11="","",SUMIFS(Ventas!F:F, Ventas!B:B, A11, Ventas!G:G, "Pendiente"))</f>
        <v>0</v>
      </c>
      <c r="D11" s="21">
        <f t="shared" si="0"/>
        <v>8000</v>
      </c>
      <c r="E11" s="22" t="str">
        <f t="shared" si="1"/>
        <v>Por Cobrar ⏳</v>
      </c>
    </row>
    <row r="12" spans="1:8" x14ac:dyDescent="0.3">
      <c r="A12" s="15" t="s">
        <v>45</v>
      </c>
      <c r="B12" s="16">
        <f>IF(A12="","",SUMIFS(Ventas!E:E, Ventas!B:B, A12, Ventas!G:G, "Pendiente"))</f>
        <v>47000</v>
      </c>
      <c r="C12" s="16">
        <f>IF(A12="","",SUMIFS(Ventas!F:F, Ventas!B:B, A12, Ventas!G:G, "Pendiente"))</f>
        <v>0</v>
      </c>
      <c r="D12" s="17">
        <f t="shared" si="0"/>
        <v>47000</v>
      </c>
      <c r="E12" s="18" t="str">
        <f t="shared" si="1"/>
        <v>Por Cobrar ⏳</v>
      </c>
    </row>
    <row r="13" spans="1:8" x14ac:dyDescent="0.3">
      <c r="A13" s="19" t="s">
        <v>46</v>
      </c>
      <c r="B13" s="20">
        <f>IF(A13="","",SUMIFS(Ventas!E:E, Ventas!B:B, A13, Ventas!G:G, "Pendiente"))</f>
        <v>0</v>
      </c>
      <c r="C13" s="20">
        <f>IF(A13="","",SUMIFS(Ventas!F:F, Ventas!B:B, A13, Ventas!G:G, "Pendiente"))</f>
        <v>0</v>
      </c>
      <c r="D13" s="21">
        <f t="shared" si="0"/>
        <v>0</v>
      </c>
      <c r="E13" s="22" t="str">
        <f t="shared" si="1"/>
        <v>Saldado ✅</v>
      </c>
    </row>
    <row r="14" spans="1:8" x14ac:dyDescent="0.3">
      <c r="A14" s="15" t="s">
        <v>47</v>
      </c>
      <c r="B14" s="16">
        <f>IF(A14="","",SUMIFS(Ventas!E:E, Ventas!B:B, A14, Ventas!G:G, "Pendiente"))</f>
        <v>8000</v>
      </c>
      <c r="C14" s="16">
        <f>IF(A14="","",SUMIFS(Ventas!F:F, Ventas!B:B, A14, Ventas!G:G, "Pendiente"))</f>
        <v>0</v>
      </c>
      <c r="D14" s="17">
        <f t="shared" si="0"/>
        <v>8000</v>
      </c>
      <c r="E14" s="18" t="str">
        <f t="shared" si="1"/>
        <v>Por Cobrar ⏳</v>
      </c>
    </row>
    <row r="15" spans="1:8" x14ac:dyDescent="0.3">
      <c r="A15" s="19" t="s">
        <v>89</v>
      </c>
      <c r="B15" s="20">
        <f>IF(A15="","",SUMIFS(Ventas!E:E, Ventas!B:B, A15, Ventas!G:G, "Pendiente"))</f>
        <v>0</v>
      </c>
      <c r="C15" s="20">
        <f>IF(A15="","",SUMIFS(Ventas!F:F, Ventas!B:B, A15, Ventas!G:G, "Pendiente"))</f>
        <v>0</v>
      </c>
      <c r="D15" s="21">
        <f t="shared" si="0"/>
        <v>0</v>
      </c>
      <c r="E15" s="22" t="str">
        <f t="shared" si="1"/>
        <v>Saldado ✅</v>
      </c>
    </row>
    <row r="16" spans="1:8" x14ac:dyDescent="0.3">
      <c r="A16" s="2" t="s">
        <v>92</v>
      </c>
      <c r="B16" s="16">
        <f>IF(A16="","",SUMIFS(Ventas!E:E, Ventas!B:B, A16, Ventas!G:G, "Pendiente"))</f>
        <v>22000</v>
      </c>
      <c r="C16" s="16">
        <f>IF(A16="","",SUMIFS(Ventas!F:F, Ventas!B:B, A16, Ventas!G:G, "Pendiente"))</f>
        <v>0</v>
      </c>
      <c r="D16" s="17">
        <f t="shared" si="0"/>
        <v>22000</v>
      </c>
      <c r="E16" s="18" t="str">
        <f t="shared" si="1"/>
        <v>Por Cobrar ⏳</v>
      </c>
    </row>
    <row r="17" spans="1:5" x14ac:dyDescent="0.3">
      <c r="A17" s="19"/>
      <c r="B17" s="20" t="str">
        <f>IF(A17="","",SUMIFS(Ventas!E:E, Ventas!B:B, A17, Ventas!G:G, "Pendiente"))</f>
        <v/>
      </c>
      <c r="C17" s="20" t="str">
        <f>IF(A17="","",SUMIFS(Ventas!F:F, Ventas!B:B, A17, Ventas!G:G, "Pendiente"))</f>
        <v/>
      </c>
      <c r="D17" s="21" t="str">
        <f t="shared" si="0"/>
        <v/>
      </c>
      <c r="E17" s="22" t="str">
        <f t="shared" si="1"/>
        <v/>
      </c>
    </row>
    <row r="18" spans="1:5" x14ac:dyDescent="0.3">
      <c r="A18" s="15"/>
      <c r="B18" s="16" t="str">
        <f>IF(A18="","",SUMIFS(Ventas!E:E, Ventas!B:B, A18, Ventas!G:G, "Pendiente"))</f>
        <v/>
      </c>
      <c r="C18" s="16" t="str">
        <f>IF(A18="","",SUMIFS(Ventas!F:F, Ventas!B:B, A18, Ventas!G:G, "Pendiente"))</f>
        <v/>
      </c>
      <c r="D18" s="17" t="str">
        <f t="shared" si="0"/>
        <v/>
      </c>
      <c r="E18" s="18" t="str">
        <f t="shared" si="1"/>
        <v/>
      </c>
    </row>
    <row r="19" spans="1:5" x14ac:dyDescent="0.3">
      <c r="A19" s="19"/>
      <c r="B19" s="20" t="str">
        <f>IF(A19="","",SUMIFS(Ventas!E:E, Ventas!B:B, A19, Ventas!G:G, "Pendiente"))</f>
        <v/>
      </c>
      <c r="C19" s="20" t="str">
        <f>IF(A19="","",SUMIFS(Ventas!F:F, Ventas!B:B, A19, Ventas!G:G, "Pendiente"))</f>
        <v/>
      </c>
      <c r="D19" s="21" t="str">
        <f t="shared" si="0"/>
        <v/>
      </c>
      <c r="E19" s="22" t="str">
        <f t="shared" si="1"/>
        <v/>
      </c>
    </row>
    <row r="20" spans="1:5" x14ac:dyDescent="0.3">
      <c r="A20" s="15"/>
      <c r="B20" s="16" t="str">
        <f>IF(A20="","",SUMIFS(Ventas!E:E, Ventas!B:B, A20, Ventas!G:G, "Pendiente"))</f>
        <v/>
      </c>
      <c r="C20" s="16" t="str">
        <f>IF(A20="","",SUMIFS(Ventas!F:F, Ventas!B:B, A20, Ventas!G:G, "Pendiente"))</f>
        <v/>
      </c>
      <c r="D20" s="17" t="str">
        <f t="shared" si="0"/>
        <v/>
      </c>
      <c r="E20" s="18" t="str">
        <f t="shared" si="1"/>
        <v/>
      </c>
    </row>
    <row r="21" spans="1:5" x14ac:dyDescent="0.3">
      <c r="A21" s="19"/>
      <c r="B21" s="20" t="str">
        <f>IF(A21="","",SUMIFS(Ventas!E:E, Ventas!B:B, A21, Ventas!G:G, "Pendiente"))</f>
        <v/>
      </c>
      <c r="C21" s="20" t="str">
        <f>IF(A21="","",SUMIFS(Ventas!F:F, Ventas!B:B, A21, Ventas!G:G, "Pendiente"))</f>
        <v/>
      </c>
      <c r="D21" s="21" t="str">
        <f t="shared" si="0"/>
        <v/>
      </c>
      <c r="E21" s="22" t="str">
        <f t="shared" si="1"/>
        <v/>
      </c>
    </row>
    <row r="22" spans="1:5" x14ac:dyDescent="0.3">
      <c r="A22" s="15"/>
      <c r="B22" s="16" t="str">
        <f>IF(A22="","",SUMIFS(Ventas!E:E, Ventas!B:B, A22, Ventas!G:G, "Pendiente"))</f>
        <v/>
      </c>
      <c r="C22" s="16" t="str">
        <f>IF(A22="","",SUMIFS(Ventas!F:F, Ventas!B:B, A22, Ventas!G:G, "Pendiente"))</f>
        <v/>
      </c>
      <c r="D22" s="17" t="str">
        <f t="shared" si="0"/>
        <v/>
      </c>
      <c r="E22" s="18" t="str">
        <f t="shared" si="1"/>
        <v/>
      </c>
    </row>
    <row r="23" spans="1:5" x14ac:dyDescent="0.3">
      <c r="A23" s="19"/>
      <c r="B23" s="20" t="str">
        <f>IF(A23="","",SUMIFS(Ventas!E:E, Ventas!B:B, A23, Ventas!G:G, "Pendiente"))</f>
        <v/>
      </c>
      <c r="C23" s="20" t="str">
        <f>IF(A23="","",SUMIFS(Ventas!F:F, Ventas!B:B, A23, Ventas!G:G, "Pendiente"))</f>
        <v/>
      </c>
      <c r="D23" s="21" t="str">
        <f t="shared" si="0"/>
        <v/>
      </c>
      <c r="E23" s="22" t="str">
        <f t="shared" si="1"/>
        <v/>
      </c>
    </row>
    <row r="24" spans="1:5" x14ac:dyDescent="0.3">
      <c r="A24" s="15"/>
      <c r="B24" s="16" t="str">
        <f>IF(A24="","",SUMIFS(Ventas!E:E, Ventas!B:B, A24, Ventas!G:G, "Pendiente"))</f>
        <v/>
      </c>
      <c r="C24" s="16" t="str">
        <f>IF(A24="","",SUMIFS(Ventas!F:F, Ventas!B:B, A24, Ventas!G:G, "Pendiente"))</f>
        <v/>
      </c>
      <c r="D24" s="17" t="str">
        <f t="shared" si="0"/>
        <v/>
      </c>
      <c r="E24" s="18" t="str">
        <f t="shared" si="1"/>
        <v/>
      </c>
    </row>
    <row r="25" spans="1:5" x14ac:dyDescent="0.3">
      <c r="A25" s="19"/>
      <c r="B25" s="20" t="str">
        <f>IF(A25="","",SUMIFS(Ventas!E:E, Ventas!B:B, A25, Ventas!G:G, "Pendiente"))</f>
        <v/>
      </c>
      <c r="C25" s="20" t="str">
        <f>IF(A25="","",SUMIFS(Ventas!F:F, Ventas!B:B, A25, Ventas!G:G, "Pendiente"))</f>
        <v/>
      </c>
      <c r="D25" s="21" t="str">
        <f t="shared" si="0"/>
        <v/>
      </c>
      <c r="E25" s="22" t="str">
        <f t="shared" si="1"/>
        <v/>
      </c>
    </row>
    <row r="26" spans="1:5" x14ac:dyDescent="0.3">
      <c r="A26" s="15"/>
      <c r="B26" s="16" t="str">
        <f>IF(A26="","",SUMIFS(Ventas!E:E, Ventas!B:B, A26, Ventas!G:G, "Pendiente"))</f>
        <v/>
      </c>
      <c r="C26" s="16" t="str">
        <f>IF(A26="","",SUMIFS(Ventas!F:F, Ventas!B:B, A26, Ventas!G:G, "Pendiente"))</f>
        <v/>
      </c>
      <c r="D26" s="17" t="str">
        <f t="shared" si="0"/>
        <v/>
      </c>
      <c r="E26" s="18" t="str">
        <f t="shared" si="1"/>
        <v/>
      </c>
    </row>
    <row r="27" spans="1:5" x14ac:dyDescent="0.3">
      <c r="A27" s="19"/>
      <c r="B27" s="20" t="str">
        <f>IF(A27="","",SUMIFS(Ventas!E:E, Ventas!B:B, A27, Ventas!G:G, "Pendiente"))</f>
        <v/>
      </c>
      <c r="C27" s="20" t="str">
        <f>IF(A27="","",SUMIFS(Ventas!F:F, Ventas!B:B, A27, Ventas!G:G, "Pendiente"))</f>
        <v/>
      </c>
      <c r="D27" s="21" t="str">
        <f t="shared" si="0"/>
        <v/>
      </c>
      <c r="E27" s="22" t="str">
        <f t="shared" si="1"/>
        <v/>
      </c>
    </row>
    <row r="28" spans="1:5" x14ac:dyDescent="0.3">
      <c r="A28" s="15"/>
      <c r="B28" s="16" t="str">
        <f>IF(A28="","",SUMIFS(Ventas!E:E, Ventas!B:B, A28, Ventas!G:G, "Pendiente"))</f>
        <v/>
      </c>
      <c r="C28" s="16" t="str">
        <f>IF(A28="","",SUMIFS(Ventas!F:F, Ventas!B:B, A28, Ventas!G:G, "Pendiente"))</f>
        <v/>
      </c>
      <c r="D28" s="17" t="str">
        <f t="shared" si="0"/>
        <v/>
      </c>
      <c r="E28" s="18" t="str">
        <f t="shared" si="1"/>
        <v/>
      </c>
    </row>
    <row r="29" spans="1:5" x14ac:dyDescent="0.3">
      <c r="A29" s="19"/>
      <c r="B29" s="20" t="str">
        <f>IF(A29="","",SUMIFS(Ventas!E:E, Ventas!B:B, A29, Ventas!G:G, "Pendiente"))</f>
        <v/>
      </c>
      <c r="C29" s="20" t="str">
        <f>IF(A29="","",SUMIFS(Ventas!F:F, Ventas!B:B, A29, Ventas!G:G, "Pendiente"))</f>
        <v/>
      </c>
      <c r="D29" s="21" t="str">
        <f t="shared" si="0"/>
        <v/>
      </c>
      <c r="E29" s="22" t="str">
        <f t="shared" si="1"/>
        <v/>
      </c>
    </row>
    <row r="30" spans="1:5" x14ac:dyDescent="0.3">
      <c r="A30" s="15"/>
      <c r="B30" s="16" t="str">
        <f>IF(A30="","",SUMIFS(Ventas!E:E, Ventas!B:B, A30, Ventas!G:G, "Pendiente"))</f>
        <v/>
      </c>
      <c r="C30" s="16" t="str">
        <f>IF(A30="","",SUMIFS(Ventas!F:F, Ventas!B:B, A30, Ventas!G:G, "Pendiente"))</f>
        <v/>
      </c>
      <c r="D30" s="17" t="str">
        <f t="shared" si="0"/>
        <v/>
      </c>
      <c r="E30" s="18" t="str">
        <f t="shared" si="1"/>
        <v/>
      </c>
    </row>
    <row r="31" spans="1:5" x14ac:dyDescent="0.3">
      <c r="A31" s="19"/>
      <c r="B31" s="20" t="str">
        <f>IF(A31="","",SUMIFS(Ventas!E:E, Ventas!B:B, A31, Ventas!G:G, "Pendiente"))</f>
        <v/>
      </c>
      <c r="C31" s="20" t="str">
        <f>IF(A31="","",SUMIFS(Ventas!F:F, Ventas!B:B, A31, Ventas!G:G, "Pendiente"))</f>
        <v/>
      </c>
      <c r="D31" s="21" t="str">
        <f t="shared" si="0"/>
        <v/>
      </c>
      <c r="E31" s="22" t="str">
        <f t="shared" si="1"/>
        <v/>
      </c>
    </row>
    <row r="32" spans="1:5" x14ac:dyDescent="0.3">
      <c r="A32" s="15"/>
      <c r="B32" s="16" t="str">
        <f>IF(A32="","",SUMIFS(Ventas!E:E, Ventas!B:B, A32, Ventas!G:G, "Pendiente"))</f>
        <v/>
      </c>
      <c r="C32" s="16" t="str">
        <f>IF(A32="","",SUMIFS(Ventas!F:F, Ventas!B:B, A32, Ventas!G:G, "Pendiente"))</f>
        <v/>
      </c>
      <c r="D32" s="17" t="str">
        <f t="shared" si="0"/>
        <v/>
      </c>
      <c r="E32" s="18" t="str">
        <f t="shared" si="1"/>
        <v/>
      </c>
    </row>
    <row r="33" spans="1:5" x14ac:dyDescent="0.3">
      <c r="A33" s="19"/>
      <c r="B33" s="20" t="str">
        <f>IF(A33="","",SUMIFS(Ventas!E:E, Ventas!B:B, A33, Ventas!G:G, "Pendiente"))</f>
        <v/>
      </c>
      <c r="C33" s="20" t="str">
        <f>IF(A33="","",SUMIFS(Ventas!F:F, Ventas!B:B, A33, Ventas!G:G, "Pendiente"))</f>
        <v/>
      </c>
      <c r="D33" s="21" t="str">
        <f t="shared" si="0"/>
        <v/>
      </c>
      <c r="E33" s="22" t="str">
        <f t="shared" si="1"/>
        <v/>
      </c>
    </row>
    <row r="34" spans="1:5" x14ac:dyDescent="0.3">
      <c r="A34" s="15"/>
      <c r="B34" s="16" t="str">
        <f>IF(A34="","",SUMIFS(Ventas!E:E, Ventas!B:B, A34, Ventas!G:G, "Pendiente"))</f>
        <v/>
      </c>
      <c r="C34" s="16" t="str">
        <f>IF(A34="","",SUMIFS(Ventas!F:F, Ventas!B:B, A34, Ventas!G:G, "Pendiente"))</f>
        <v/>
      </c>
      <c r="D34" s="17" t="str">
        <f t="shared" si="0"/>
        <v/>
      </c>
      <c r="E34" s="18" t="str">
        <f t="shared" si="1"/>
        <v/>
      </c>
    </row>
    <row r="35" spans="1:5" x14ac:dyDescent="0.3">
      <c r="A35" s="19"/>
      <c r="B35" s="20" t="str">
        <f>IF(A35="","",SUMIFS(Ventas!E:E, Ventas!B:B, A35, Ventas!G:G, "Pendiente"))</f>
        <v/>
      </c>
      <c r="C35" s="20" t="str">
        <f>IF(A35="","",SUMIFS(Ventas!F:F, Ventas!B:B, A35, Ventas!G:G, "Pendiente"))</f>
        <v/>
      </c>
      <c r="D35" s="21" t="str">
        <f t="shared" si="0"/>
        <v/>
      </c>
      <c r="E35" s="22" t="str">
        <f t="shared" si="1"/>
        <v/>
      </c>
    </row>
    <row r="36" spans="1:5" x14ac:dyDescent="0.3">
      <c r="A36" s="15"/>
      <c r="B36" s="16" t="str">
        <f>IF(A36="","",SUMIFS(Ventas!E:E, Ventas!B:B, A36, Ventas!G:G, "Pendiente"))</f>
        <v/>
      </c>
      <c r="C36" s="16" t="str">
        <f>IF(A36="","",SUMIFS(Ventas!F:F, Ventas!B:B, A36, Ventas!G:G, "Pendiente"))</f>
        <v/>
      </c>
      <c r="D36" s="17" t="str">
        <f t="shared" si="0"/>
        <v/>
      </c>
      <c r="E36" s="18" t="str">
        <f t="shared" si="1"/>
        <v/>
      </c>
    </row>
    <row r="37" spans="1:5" x14ac:dyDescent="0.3">
      <c r="A37" s="19"/>
      <c r="B37" s="20" t="str">
        <f>IF(A37="","",SUMIFS(Ventas!E:E, Ventas!B:B, A37, Ventas!G:G, "Pendiente"))</f>
        <v/>
      </c>
      <c r="C37" s="20" t="str">
        <f>IF(A37="","",SUMIFS(Ventas!F:F, Ventas!B:B, A37, Ventas!G:G, "Pendiente"))</f>
        <v/>
      </c>
      <c r="D37" s="21" t="str">
        <f t="shared" si="0"/>
        <v/>
      </c>
      <c r="E37" s="22" t="str">
        <f t="shared" si="1"/>
        <v/>
      </c>
    </row>
    <row r="38" spans="1:5" x14ac:dyDescent="0.3">
      <c r="A38" s="15"/>
      <c r="B38" s="16" t="str">
        <f>IF(A38="","",SUMIFS(Ventas!E:E, Ventas!B:B, A38, Ventas!G:G, "Pendiente"))</f>
        <v/>
      </c>
      <c r="C38" s="16" t="str">
        <f>IF(A38="","",SUMIFS(Ventas!F:F, Ventas!B:B, A38, Ventas!G:G, "Pendiente"))</f>
        <v/>
      </c>
      <c r="D38" s="17" t="str">
        <f t="shared" si="0"/>
        <v/>
      </c>
      <c r="E38" s="18" t="str">
        <f t="shared" si="1"/>
        <v/>
      </c>
    </row>
    <row r="39" spans="1:5" x14ac:dyDescent="0.3">
      <c r="A39" s="19"/>
      <c r="B39" s="20" t="str">
        <f>IF(A39="","",SUMIFS(Ventas!E:E, Ventas!B:B, A39, Ventas!G:G, "Pendiente"))</f>
        <v/>
      </c>
      <c r="C39" s="20" t="str">
        <f>IF(A39="","",SUMIFS(Ventas!F:F, Ventas!B:B, A39, Ventas!G:G, "Pendiente"))</f>
        <v/>
      </c>
      <c r="D39" s="21" t="str">
        <f t="shared" si="0"/>
        <v/>
      </c>
      <c r="E39" s="22" t="str">
        <f t="shared" si="1"/>
        <v/>
      </c>
    </row>
    <row r="40" spans="1:5" x14ac:dyDescent="0.3">
      <c r="A40" s="15"/>
      <c r="B40" s="16" t="str">
        <f>IF(A40="","",SUMIFS(Ventas!E:E, Ventas!B:B, A40, Ventas!G:G, "Pendiente"))</f>
        <v/>
      </c>
      <c r="C40" s="16" t="str">
        <f>IF(A40="","",SUMIFS(Ventas!F:F, Ventas!B:B, A40, Ventas!G:G, "Pendiente"))</f>
        <v/>
      </c>
      <c r="D40" s="17" t="str">
        <f t="shared" si="0"/>
        <v/>
      </c>
      <c r="E40" s="18" t="str">
        <f t="shared" si="1"/>
        <v/>
      </c>
    </row>
    <row r="41" spans="1:5" x14ac:dyDescent="0.3">
      <c r="A41" s="19"/>
      <c r="B41" s="20" t="str">
        <f>IF(A41="","",SUMIFS(Ventas!E:E, Ventas!B:B, A41, Ventas!G:G, "Pendiente"))</f>
        <v/>
      </c>
      <c r="C41" s="20" t="str">
        <f>IF(A41="","",SUMIFS(Ventas!F:F, Ventas!B:B, A41, Ventas!G:G, "Pendiente"))</f>
        <v/>
      </c>
      <c r="D41" s="21" t="str">
        <f t="shared" si="0"/>
        <v/>
      </c>
      <c r="E41" s="22" t="str">
        <f t="shared" si="1"/>
        <v/>
      </c>
    </row>
    <row r="42" spans="1:5" x14ac:dyDescent="0.3">
      <c r="A42" s="15"/>
      <c r="B42" s="16" t="str">
        <f>IF(A42="","",SUMIFS(Ventas!E:E, Ventas!B:B, A42, Ventas!G:G, "Pendiente"))</f>
        <v/>
      </c>
      <c r="C42" s="16" t="str">
        <f>IF(A42="","",SUMIFS(Ventas!F:F, Ventas!B:B, A42, Ventas!G:G, "Pendiente"))</f>
        <v/>
      </c>
      <c r="D42" s="17" t="str">
        <f t="shared" si="0"/>
        <v/>
      </c>
      <c r="E42" s="18" t="str">
        <f t="shared" si="1"/>
        <v/>
      </c>
    </row>
    <row r="43" spans="1:5" x14ac:dyDescent="0.3">
      <c r="A43" s="19"/>
      <c r="B43" s="20" t="str">
        <f>IF(A43="","",SUMIFS(Ventas!E:E, Ventas!B:B, A43, Ventas!G:G, "Pendiente"))</f>
        <v/>
      </c>
      <c r="C43" s="20" t="str">
        <f>IF(A43="","",SUMIFS(Ventas!F:F, Ventas!B:B, A43, Ventas!G:G, "Pendiente"))</f>
        <v/>
      </c>
      <c r="D43" s="21" t="str">
        <f t="shared" si="0"/>
        <v/>
      </c>
      <c r="E43" s="22" t="str">
        <f t="shared" si="1"/>
        <v/>
      </c>
    </row>
    <row r="44" spans="1:5" x14ac:dyDescent="0.3">
      <c r="A44" s="15"/>
      <c r="B44" s="16" t="str">
        <f>IF(A44="","",SUMIFS(Ventas!E:E, Ventas!B:B, A44, Ventas!G:G, "Pendiente"))</f>
        <v/>
      </c>
      <c r="C44" s="16" t="str">
        <f>IF(A44="","",SUMIFS(Ventas!F:F, Ventas!B:B, A44, Ventas!G:G, "Pendiente"))</f>
        <v/>
      </c>
      <c r="D44" s="17" t="str">
        <f t="shared" si="0"/>
        <v/>
      </c>
      <c r="E44" s="18" t="str">
        <f t="shared" si="1"/>
        <v/>
      </c>
    </row>
    <row r="45" spans="1:5" x14ac:dyDescent="0.3">
      <c r="A45" s="19"/>
      <c r="B45" s="20" t="str">
        <f>IF(A45="","",SUMIFS(Ventas!E:E, Ventas!B:B, A45, Ventas!G:G, "Pendiente"))</f>
        <v/>
      </c>
      <c r="C45" s="20" t="str">
        <f>IF(A45="","",SUMIFS(Ventas!F:F, Ventas!B:B, A45, Ventas!G:G, "Pendiente"))</f>
        <v/>
      </c>
      <c r="D45" s="21" t="str">
        <f t="shared" si="0"/>
        <v/>
      </c>
      <c r="E45" s="22" t="str">
        <f t="shared" si="1"/>
        <v/>
      </c>
    </row>
    <row r="46" spans="1:5" x14ac:dyDescent="0.3">
      <c r="A46" s="15"/>
      <c r="B46" s="16" t="str">
        <f>IF(A46="","",SUMIFS(Ventas!E:E, Ventas!B:B, A46, Ventas!G:G, "Pendiente"))</f>
        <v/>
      </c>
      <c r="C46" s="16" t="str">
        <f>IF(A46="","",SUMIFS(Ventas!F:F, Ventas!B:B, A46, Ventas!G:G, "Pendiente"))</f>
        <v/>
      </c>
      <c r="D46" s="17" t="str">
        <f t="shared" si="0"/>
        <v/>
      </c>
      <c r="E46" s="18" t="str">
        <f t="shared" si="1"/>
        <v/>
      </c>
    </row>
    <row r="47" spans="1:5" x14ac:dyDescent="0.3">
      <c r="A47" s="19"/>
      <c r="B47" s="20" t="str">
        <f>IF(A47="","",SUMIFS(Ventas!E:E, Ventas!B:B, A47, Ventas!G:G, "Pendiente"))</f>
        <v/>
      </c>
      <c r="C47" s="20" t="str">
        <f>IF(A47="","",SUMIFS(Ventas!F:F, Ventas!B:B, A47, Ventas!G:G, "Pendiente"))</f>
        <v/>
      </c>
      <c r="D47" s="21" t="str">
        <f t="shared" si="0"/>
        <v/>
      </c>
      <c r="E47" s="22" t="str">
        <f t="shared" si="1"/>
        <v/>
      </c>
    </row>
    <row r="48" spans="1:5" x14ac:dyDescent="0.3">
      <c r="A48" s="15"/>
      <c r="B48" s="16" t="str">
        <f>IF(A48="","",SUMIFS(Ventas!E:E, Ventas!B:B, A48, Ventas!G:G, "Pendiente"))</f>
        <v/>
      </c>
      <c r="C48" s="16" t="str">
        <f>IF(A48="","",SUMIFS(Ventas!F:F, Ventas!B:B, A48, Ventas!G:G, "Pendiente"))</f>
        <v/>
      </c>
      <c r="D48" s="17" t="str">
        <f t="shared" si="0"/>
        <v/>
      </c>
      <c r="E48" s="18" t="str">
        <f t="shared" si="1"/>
        <v/>
      </c>
    </row>
    <row r="49" spans="1:5" x14ac:dyDescent="0.3">
      <c r="A49" s="19"/>
      <c r="B49" s="20" t="str">
        <f>IF(A49="","",SUMIFS(Ventas!E:E, Ventas!B:B, A49, Ventas!G:G, "Pendiente"))</f>
        <v/>
      </c>
      <c r="C49" s="20" t="str">
        <f>IF(A49="","",SUMIFS(Ventas!F:F, Ventas!B:B, A49, Ventas!G:G, "Pendiente"))</f>
        <v/>
      </c>
      <c r="D49" s="21" t="str">
        <f t="shared" si="0"/>
        <v/>
      </c>
      <c r="E49" s="22" t="str">
        <f t="shared" si="1"/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topLeftCell="E1" workbookViewId="0">
      <pane ySplit="3" topLeftCell="A4" activePane="bottomLeft" state="frozen"/>
      <selection pane="bottomLeft" activeCell="B23" sqref="B23"/>
    </sheetView>
  </sheetViews>
  <sheetFormatPr baseColWidth="10" defaultColWidth="8.88671875" defaultRowHeight="14.4" x14ac:dyDescent="0.3"/>
  <cols>
    <col min="1" max="1" width="29" customWidth="1"/>
    <col min="2" max="4" width="15" customWidth="1"/>
    <col min="5" max="5" width="16" customWidth="1"/>
    <col min="6" max="6" width="18" customWidth="1"/>
    <col min="7" max="7" width="17" customWidth="1"/>
    <col min="8" max="8" width="131" customWidth="1"/>
    <col min="9" max="9" width="16" customWidth="1"/>
  </cols>
  <sheetData>
    <row r="1" spans="1:9" ht="40.049999999999997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</row>
    <row r="3" spans="1:9" ht="25.0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22.05" customHeight="1" x14ac:dyDescent="0.3">
      <c r="A4" s="2" t="s">
        <v>10</v>
      </c>
      <c r="B4" s="8">
        <v>41000</v>
      </c>
      <c r="C4" s="9">
        <v>12</v>
      </c>
      <c r="D4" s="8">
        <f>B4/C4</f>
        <v>3416.6666666666665</v>
      </c>
      <c r="E4" s="8">
        <v>4000</v>
      </c>
      <c r="F4" s="8">
        <f t="shared" ref="F4:F9" si="0">E4-D4</f>
        <v>583.33333333333348</v>
      </c>
      <c r="G4" s="9">
        <v>48</v>
      </c>
      <c r="H4" s="9">
        <f>SUMIF(Ventas!$C$4:$C$99, A4, Ventas!$D$4:$D$99)</f>
        <v>48</v>
      </c>
      <c r="I4" s="9">
        <f>G4-H4</f>
        <v>0</v>
      </c>
    </row>
    <row r="5" spans="1:9" ht="22.05" customHeight="1" x14ac:dyDescent="0.3">
      <c r="A5" s="4" t="s">
        <v>11</v>
      </c>
      <c r="B5" s="10">
        <v>36000</v>
      </c>
      <c r="C5" s="11">
        <v>12</v>
      </c>
      <c r="D5" s="10">
        <f>B5/C5</f>
        <v>3000</v>
      </c>
      <c r="E5" s="10">
        <v>4000</v>
      </c>
      <c r="F5" s="10">
        <f t="shared" si="0"/>
        <v>1000</v>
      </c>
      <c r="G5" s="11">
        <v>48</v>
      </c>
      <c r="H5" s="11">
        <f>SUMIF(Ventas!$C$4:$C$99, A5, Ventas!$D$4:$D$99)</f>
        <v>7</v>
      </c>
      <c r="I5" s="11">
        <f>G5-H5</f>
        <v>41</v>
      </c>
    </row>
    <row r="6" spans="1:9" ht="22.05" customHeight="1" x14ac:dyDescent="0.3">
      <c r="A6" s="2" t="s">
        <v>12</v>
      </c>
      <c r="B6" s="8">
        <v>6500</v>
      </c>
      <c r="C6" s="9">
        <v>1</v>
      </c>
      <c r="D6" s="8">
        <f>B6/C6</f>
        <v>6500</v>
      </c>
      <c r="E6" s="8">
        <v>10000</v>
      </c>
      <c r="F6" s="8">
        <f t="shared" si="0"/>
        <v>3500</v>
      </c>
      <c r="G6" s="9">
        <v>20</v>
      </c>
      <c r="H6" s="9">
        <f>SUMIF(Ventas!$C$4:$C$99, A6, Ventas!$D$4:$D$99)</f>
        <v>17</v>
      </c>
      <c r="I6" s="9">
        <f>G6-H6</f>
        <v>3</v>
      </c>
    </row>
    <row r="7" spans="1:9" ht="22.05" customHeight="1" x14ac:dyDescent="0.3">
      <c r="A7" s="4" t="s">
        <v>13</v>
      </c>
      <c r="B7" s="10">
        <v>62500</v>
      </c>
      <c r="C7" s="11">
        <v>12</v>
      </c>
      <c r="D7" s="10">
        <f>B7/C7</f>
        <v>5208.333333333333</v>
      </c>
      <c r="E7" s="10">
        <v>6000</v>
      </c>
      <c r="F7" s="10">
        <f t="shared" si="0"/>
        <v>791.66666666666697</v>
      </c>
      <c r="G7" s="11">
        <v>12</v>
      </c>
      <c r="H7" s="11">
        <f>SUMIF(Ventas!$C$4:$C$99, A7, Ventas!$D$4:$D$99) + SUMIF(Ventas!$C$4:$C$99, "Combo Arepero (Mayo+Diab)", Ventas!$D$4:$D$99)</f>
        <v>8</v>
      </c>
      <c r="I7" s="11">
        <f>G7-H7</f>
        <v>4</v>
      </c>
    </row>
    <row r="8" spans="1:9" ht="22.05" customHeight="1" x14ac:dyDescent="0.3">
      <c r="A8" s="2" t="s">
        <v>14</v>
      </c>
      <c r="B8" s="8">
        <v>80000</v>
      </c>
      <c r="C8" s="9">
        <v>12</v>
      </c>
      <c r="D8" s="8">
        <f>B8/C8</f>
        <v>6666.666666666667</v>
      </c>
      <c r="E8" s="8">
        <v>10000</v>
      </c>
      <c r="F8" s="8">
        <f t="shared" si="0"/>
        <v>3333.333333333333</v>
      </c>
      <c r="G8" s="9">
        <v>12</v>
      </c>
      <c r="H8" s="9">
        <f>SUMIF(Ventas!$C$4:$C$99, A8, Ventas!$D$4:$D$99) + SUMIF(Ventas!$C$4:$C$99, "Combo Arepero (Mayo+Diab)", Ventas!$D$4:$D$99)</f>
        <v>9</v>
      </c>
      <c r="I8" s="9">
        <f>G8-H8</f>
        <v>3</v>
      </c>
    </row>
    <row r="9" spans="1:9" ht="22.05" customHeight="1" x14ac:dyDescent="0.3">
      <c r="A9" s="4" t="s">
        <v>15</v>
      </c>
      <c r="B9" s="10">
        <v>0</v>
      </c>
      <c r="C9" s="11">
        <v>1</v>
      </c>
      <c r="D9" s="10">
        <f>D7+D8</f>
        <v>11875</v>
      </c>
      <c r="E9" s="10">
        <v>15000</v>
      </c>
      <c r="F9" s="10">
        <f t="shared" si="0"/>
        <v>3125</v>
      </c>
      <c r="G9" s="11">
        <v>0</v>
      </c>
      <c r="H9" s="11">
        <f>SUMIF(Ventas!$C$4:$C$99, A9, Ventas!$D$4:$D$99)</f>
        <v>8</v>
      </c>
      <c r="I9" s="12" t="s">
        <v>16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7"/>
  <sheetViews>
    <sheetView tabSelected="1" zoomScale="71" workbookViewId="0">
      <pane ySplit="3" topLeftCell="A31" activePane="bottomLeft" state="frozen"/>
      <selection pane="bottomLeft" activeCell="B53" sqref="B53"/>
    </sheetView>
  </sheetViews>
  <sheetFormatPr baseColWidth="10" defaultColWidth="8.88671875" defaultRowHeight="14.4" x14ac:dyDescent="0.3"/>
  <cols>
    <col min="1" max="1" width="15" customWidth="1"/>
    <col min="2" max="2" width="17" customWidth="1"/>
    <col min="3" max="3" width="29" customWidth="1"/>
    <col min="4" max="4" width="15" customWidth="1"/>
    <col min="5" max="5" width="65" customWidth="1"/>
    <col min="6" max="7" width="15" customWidth="1"/>
  </cols>
  <sheetData>
    <row r="1" spans="1:7" ht="40.049999999999997" customHeight="1" x14ac:dyDescent="0.3">
      <c r="A1" s="26" t="s">
        <v>48</v>
      </c>
      <c r="B1" s="25"/>
      <c r="C1" s="25"/>
      <c r="D1" s="25"/>
      <c r="E1" s="25"/>
      <c r="F1" s="25"/>
      <c r="G1" s="25"/>
    </row>
    <row r="3" spans="1:7" ht="25.05" customHeight="1" x14ac:dyDescent="0.3">
      <c r="A3" s="1" t="s">
        <v>49</v>
      </c>
      <c r="B3" s="1" t="s">
        <v>50</v>
      </c>
      <c r="C3" s="1" t="s">
        <v>1</v>
      </c>
      <c r="D3" s="1" t="s">
        <v>51</v>
      </c>
      <c r="E3" s="1" t="s">
        <v>52</v>
      </c>
      <c r="F3" s="1" t="s">
        <v>53</v>
      </c>
      <c r="G3" s="1" t="s">
        <v>36</v>
      </c>
    </row>
    <row r="4" spans="1:7" ht="22.05" customHeight="1" x14ac:dyDescent="0.3">
      <c r="A4" s="2" t="s">
        <v>54</v>
      </c>
      <c r="B4" s="2" t="s">
        <v>55</v>
      </c>
      <c r="C4" s="13" t="s">
        <v>10</v>
      </c>
      <c r="D4" s="9">
        <v>2</v>
      </c>
      <c r="E4" s="8">
        <v>8000</v>
      </c>
      <c r="F4" s="8">
        <v>0</v>
      </c>
      <c r="G4" s="13" t="s">
        <v>56</v>
      </c>
    </row>
    <row r="5" spans="1:7" ht="22.05" customHeight="1" x14ac:dyDescent="0.3">
      <c r="A5" s="2" t="s">
        <v>54</v>
      </c>
      <c r="B5" s="2" t="s">
        <v>57</v>
      </c>
      <c r="C5" s="13" t="s">
        <v>10</v>
      </c>
      <c r="D5" s="9">
        <v>2</v>
      </c>
      <c r="E5" s="8">
        <v>8000</v>
      </c>
      <c r="F5" s="8">
        <v>0</v>
      </c>
      <c r="G5" s="13" t="s">
        <v>56</v>
      </c>
    </row>
    <row r="6" spans="1:7" ht="22.05" customHeight="1" x14ac:dyDescent="0.3">
      <c r="A6" s="2" t="s">
        <v>54</v>
      </c>
      <c r="B6" s="2" t="s">
        <v>58</v>
      </c>
      <c r="C6" s="13" t="s">
        <v>10</v>
      </c>
      <c r="D6" s="9">
        <v>6</v>
      </c>
      <c r="E6" s="8">
        <v>24000</v>
      </c>
      <c r="F6" s="8">
        <v>0</v>
      </c>
      <c r="G6" s="13" t="s">
        <v>56</v>
      </c>
    </row>
    <row r="7" spans="1:7" ht="22.05" customHeight="1" x14ac:dyDescent="0.3">
      <c r="A7" s="2" t="s">
        <v>54</v>
      </c>
      <c r="B7" s="2" t="s">
        <v>58</v>
      </c>
      <c r="C7" s="13" t="s">
        <v>12</v>
      </c>
      <c r="D7" s="9">
        <v>1</v>
      </c>
      <c r="E7" s="8">
        <v>10000</v>
      </c>
      <c r="F7" s="8">
        <v>0</v>
      </c>
      <c r="G7" s="13" t="s">
        <v>56</v>
      </c>
    </row>
    <row r="8" spans="1:7" ht="22.05" customHeight="1" x14ac:dyDescent="0.3">
      <c r="A8" s="2" t="s">
        <v>54</v>
      </c>
      <c r="B8" s="2" t="s">
        <v>59</v>
      </c>
      <c r="C8" s="13" t="s">
        <v>10</v>
      </c>
      <c r="D8" s="9">
        <v>3</v>
      </c>
      <c r="E8" s="8">
        <v>12000</v>
      </c>
      <c r="F8" s="8">
        <v>0</v>
      </c>
      <c r="G8" s="13" t="s">
        <v>56</v>
      </c>
    </row>
    <row r="9" spans="1:7" ht="22.05" customHeight="1" x14ac:dyDescent="0.3">
      <c r="A9" s="2" t="s">
        <v>54</v>
      </c>
      <c r="B9" s="2" t="s">
        <v>60</v>
      </c>
      <c r="C9" s="13" t="s">
        <v>10</v>
      </c>
      <c r="D9" s="9">
        <v>2</v>
      </c>
      <c r="E9" s="8">
        <v>8000</v>
      </c>
      <c r="F9" s="8">
        <v>0</v>
      </c>
      <c r="G9" s="13" t="s">
        <v>61</v>
      </c>
    </row>
    <row r="10" spans="1:7" ht="22.05" customHeight="1" x14ac:dyDescent="0.3">
      <c r="A10" s="2" t="s">
        <v>54</v>
      </c>
      <c r="B10" s="2" t="s">
        <v>47</v>
      </c>
      <c r="C10" s="13" t="s">
        <v>10</v>
      </c>
      <c r="D10" s="9">
        <v>2</v>
      </c>
      <c r="E10" s="8">
        <v>8000</v>
      </c>
      <c r="F10" s="8">
        <v>0</v>
      </c>
      <c r="G10" s="13" t="s">
        <v>61</v>
      </c>
    </row>
    <row r="11" spans="1:7" ht="22.05" customHeight="1" x14ac:dyDescent="0.3">
      <c r="A11" s="2" t="s">
        <v>54</v>
      </c>
      <c r="B11" s="2" t="s">
        <v>42</v>
      </c>
      <c r="C11" s="13" t="s">
        <v>10</v>
      </c>
      <c r="D11" s="9">
        <v>7</v>
      </c>
      <c r="E11" s="8">
        <v>28000</v>
      </c>
      <c r="F11" s="8">
        <v>0</v>
      </c>
      <c r="G11" s="13" t="s">
        <v>61</v>
      </c>
    </row>
    <row r="12" spans="1:7" ht="22.05" customHeight="1" x14ac:dyDescent="0.3">
      <c r="A12" s="2" t="s">
        <v>54</v>
      </c>
      <c r="B12" s="2" t="s">
        <v>42</v>
      </c>
      <c r="C12" s="13" t="s">
        <v>12</v>
      </c>
      <c r="D12" s="9">
        <v>1</v>
      </c>
      <c r="E12" s="8">
        <v>10000</v>
      </c>
      <c r="F12" s="8">
        <v>0</v>
      </c>
      <c r="G12" s="13" t="s">
        <v>61</v>
      </c>
    </row>
    <row r="13" spans="1:7" ht="22.05" customHeight="1" x14ac:dyDescent="0.3">
      <c r="A13" s="2" t="s">
        <v>54</v>
      </c>
      <c r="B13" s="2" t="s">
        <v>62</v>
      </c>
      <c r="C13" s="13" t="s">
        <v>10</v>
      </c>
      <c r="D13" s="9">
        <v>2</v>
      </c>
      <c r="E13" s="8">
        <v>8000</v>
      </c>
      <c r="F13" s="8">
        <v>0</v>
      </c>
      <c r="G13" s="13" t="s">
        <v>56</v>
      </c>
    </row>
    <row r="14" spans="1:7" ht="22.05" customHeight="1" x14ac:dyDescent="0.3">
      <c r="A14" s="2" t="s">
        <v>54</v>
      </c>
      <c r="B14" s="2" t="s">
        <v>38</v>
      </c>
      <c r="C14" s="13" t="s">
        <v>12</v>
      </c>
      <c r="D14" s="9">
        <v>1</v>
      </c>
      <c r="E14" s="8">
        <v>10000</v>
      </c>
      <c r="F14" s="8">
        <v>6000</v>
      </c>
      <c r="G14" s="13" t="s">
        <v>61</v>
      </c>
    </row>
    <row r="15" spans="1:7" ht="22.05" customHeight="1" x14ac:dyDescent="0.3">
      <c r="A15" s="2" t="s">
        <v>54</v>
      </c>
      <c r="B15" s="2" t="s">
        <v>44</v>
      </c>
      <c r="C15" s="13" t="s">
        <v>10</v>
      </c>
      <c r="D15" s="9">
        <v>2</v>
      </c>
      <c r="E15" s="8">
        <v>8000</v>
      </c>
      <c r="F15" s="8">
        <v>0</v>
      </c>
      <c r="G15" s="13" t="s">
        <v>56</v>
      </c>
    </row>
    <row r="16" spans="1:7" ht="22.05" customHeight="1" x14ac:dyDescent="0.3">
      <c r="A16" s="2" t="s">
        <v>54</v>
      </c>
      <c r="B16" s="2" t="s">
        <v>41</v>
      </c>
      <c r="C16" s="13" t="s">
        <v>12</v>
      </c>
      <c r="D16" s="9">
        <v>1</v>
      </c>
      <c r="E16" s="8">
        <v>10000</v>
      </c>
      <c r="F16" s="8">
        <v>0</v>
      </c>
      <c r="G16" s="13" t="s">
        <v>56</v>
      </c>
    </row>
    <row r="17" spans="1:7" ht="22.05" customHeight="1" x14ac:dyDescent="0.3">
      <c r="A17" s="2" t="s">
        <v>54</v>
      </c>
      <c r="B17" s="2" t="s">
        <v>63</v>
      </c>
      <c r="C17" s="13" t="s">
        <v>10</v>
      </c>
      <c r="D17" s="9">
        <v>1</v>
      </c>
      <c r="E17" s="8">
        <v>4000</v>
      </c>
      <c r="F17" s="8">
        <v>0</v>
      </c>
      <c r="G17" s="13" t="s">
        <v>56</v>
      </c>
    </row>
    <row r="18" spans="1:7" ht="22.05" customHeight="1" x14ac:dyDescent="0.3">
      <c r="A18" s="2" t="s">
        <v>54</v>
      </c>
      <c r="B18" s="2" t="s">
        <v>63</v>
      </c>
      <c r="C18" s="13" t="s">
        <v>10</v>
      </c>
      <c r="D18" s="9">
        <v>2</v>
      </c>
      <c r="E18" s="8">
        <v>8000</v>
      </c>
      <c r="F18" s="8">
        <v>0</v>
      </c>
      <c r="G18" s="13" t="s">
        <v>61</v>
      </c>
    </row>
    <row r="19" spans="1:7" ht="22.05" customHeight="1" x14ac:dyDescent="0.3">
      <c r="A19" s="2" t="s">
        <v>54</v>
      </c>
      <c r="B19" s="2" t="s">
        <v>45</v>
      </c>
      <c r="C19" s="13" t="s">
        <v>10</v>
      </c>
      <c r="D19" s="9">
        <v>5</v>
      </c>
      <c r="E19" s="8">
        <v>20000</v>
      </c>
      <c r="F19" s="8">
        <v>0</v>
      </c>
      <c r="G19" s="13" t="s">
        <v>56</v>
      </c>
    </row>
    <row r="20" spans="1:7" ht="22.05" customHeight="1" x14ac:dyDescent="0.3">
      <c r="A20" s="2" t="s">
        <v>54</v>
      </c>
      <c r="B20" s="2" t="s">
        <v>64</v>
      </c>
      <c r="C20" s="13" t="s">
        <v>12</v>
      </c>
      <c r="D20" s="9">
        <v>1</v>
      </c>
      <c r="E20" s="8">
        <v>10000</v>
      </c>
      <c r="F20" s="8">
        <v>0</v>
      </c>
      <c r="G20" s="13" t="s">
        <v>56</v>
      </c>
    </row>
    <row r="21" spans="1:7" ht="22.05" customHeight="1" x14ac:dyDescent="0.3">
      <c r="A21" s="2" t="s">
        <v>65</v>
      </c>
      <c r="B21" s="2" t="s">
        <v>66</v>
      </c>
      <c r="C21" s="13" t="s">
        <v>15</v>
      </c>
      <c r="D21" s="9">
        <v>1</v>
      </c>
      <c r="E21" s="8">
        <v>15000</v>
      </c>
      <c r="F21" s="8">
        <v>0</v>
      </c>
      <c r="G21" s="13" t="s">
        <v>56</v>
      </c>
    </row>
    <row r="22" spans="1:7" ht="22.05" customHeight="1" x14ac:dyDescent="0.3">
      <c r="A22" s="2" t="s">
        <v>67</v>
      </c>
      <c r="B22" s="2" t="s">
        <v>45</v>
      </c>
      <c r="C22" s="13" t="s">
        <v>15</v>
      </c>
      <c r="D22" s="9">
        <v>1</v>
      </c>
      <c r="E22" s="8">
        <v>15000</v>
      </c>
      <c r="F22" s="8">
        <v>0</v>
      </c>
      <c r="G22" s="13" t="s">
        <v>61</v>
      </c>
    </row>
    <row r="23" spans="1:7" ht="22.05" customHeight="1" x14ac:dyDescent="0.3">
      <c r="A23" s="2" t="s">
        <v>67</v>
      </c>
      <c r="B23" s="2" t="s">
        <v>38</v>
      </c>
      <c r="C23" s="13" t="s">
        <v>10</v>
      </c>
      <c r="D23" s="9">
        <v>1</v>
      </c>
      <c r="E23" s="8">
        <v>4000</v>
      </c>
      <c r="F23" s="8">
        <v>0</v>
      </c>
      <c r="G23" s="13" t="s">
        <v>61</v>
      </c>
    </row>
    <row r="24" spans="1:7" ht="22.05" customHeight="1" x14ac:dyDescent="0.3">
      <c r="A24" s="2" t="s">
        <v>68</v>
      </c>
      <c r="B24" s="2" t="s">
        <v>69</v>
      </c>
      <c r="C24" s="13" t="s">
        <v>15</v>
      </c>
      <c r="D24" s="9">
        <v>1</v>
      </c>
      <c r="E24" s="8">
        <v>15000</v>
      </c>
      <c r="F24" s="8">
        <v>0</v>
      </c>
      <c r="G24" s="13" t="s">
        <v>56</v>
      </c>
    </row>
    <row r="25" spans="1:7" ht="22.05" customHeight="1" x14ac:dyDescent="0.3">
      <c r="A25" s="2" t="s">
        <v>68</v>
      </c>
      <c r="B25" s="2" t="s">
        <v>70</v>
      </c>
      <c r="C25" s="13" t="s">
        <v>10</v>
      </c>
      <c r="D25" s="9">
        <v>1</v>
      </c>
      <c r="E25" s="8">
        <v>4000</v>
      </c>
      <c r="F25" s="8">
        <v>0</v>
      </c>
      <c r="G25" s="13" t="s">
        <v>56</v>
      </c>
    </row>
    <row r="26" spans="1:7" ht="22.05" customHeight="1" x14ac:dyDescent="0.3">
      <c r="A26" s="2" t="s">
        <v>68</v>
      </c>
      <c r="B26" s="2" t="s">
        <v>43</v>
      </c>
      <c r="C26" s="13" t="s">
        <v>12</v>
      </c>
      <c r="D26" s="9">
        <v>1</v>
      </c>
      <c r="E26" s="8">
        <v>10000</v>
      </c>
      <c r="F26" s="8">
        <v>0</v>
      </c>
      <c r="G26" s="13" t="s">
        <v>56</v>
      </c>
    </row>
    <row r="27" spans="1:7" ht="22.05" customHeight="1" x14ac:dyDescent="0.3">
      <c r="A27" s="2" t="s">
        <v>68</v>
      </c>
      <c r="B27" s="2" t="s">
        <v>71</v>
      </c>
      <c r="C27" s="13" t="s">
        <v>15</v>
      </c>
      <c r="D27" s="9">
        <v>1</v>
      </c>
      <c r="E27" s="8">
        <v>15000</v>
      </c>
      <c r="F27" s="8">
        <v>0</v>
      </c>
      <c r="G27" s="13" t="s">
        <v>56</v>
      </c>
    </row>
    <row r="28" spans="1:7" ht="22.05" customHeight="1" x14ac:dyDescent="0.3">
      <c r="A28" s="2" t="s">
        <v>68</v>
      </c>
      <c r="B28" s="2" t="s">
        <v>42</v>
      </c>
      <c r="C28" s="13" t="s">
        <v>15</v>
      </c>
      <c r="D28" s="9">
        <v>1</v>
      </c>
      <c r="E28" s="8">
        <v>15000</v>
      </c>
      <c r="F28" s="8">
        <v>0</v>
      </c>
      <c r="G28" s="13" t="s">
        <v>61</v>
      </c>
    </row>
    <row r="29" spans="1:7" ht="22.05" customHeight="1" x14ac:dyDescent="0.3">
      <c r="A29" s="2" t="s">
        <v>68</v>
      </c>
      <c r="B29" s="2" t="s">
        <v>41</v>
      </c>
      <c r="C29" s="13" t="s">
        <v>12</v>
      </c>
      <c r="D29" s="9">
        <v>1</v>
      </c>
      <c r="E29" s="8">
        <v>10000</v>
      </c>
      <c r="F29" s="8">
        <v>0</v>
      </c>
      <c r="G29" s="13" t="s">
        <v>61</v>
      </c>
    </row>
    <row r="30" spans="1:7" ht="22.05" customHeight="1" x14ac:dyDescent="0.3">
      <c r="A30" s="2" t="s">
        <v>68</v>
      </c>
      <c r="B30" s="2" t="s">
        <v>64</v>
      </c>
      <c r="C30" s="13" t="s">
        <v>15</v>
      </c>
      <c r="D30" s="9">
        <v>1</v>
      </c>
      <c r="E30" s="8">
        <v>15000</v>
      </c>
      <c r="F30" s="8">
        <v>0</v>
      </c>
      <c r="G30" s="13" t="s">
        <v>56</v>
      </c>
    </row>
    <row r="31" spans="1:7" ht="22.05" customHeight="1" x14ac:dyDescent="0.3">
      <c r="A31" s="2" t="s">
        <v>68</v>
      </c>
      <c r="B31" s="2" t="s">
        <v>72</v>
      </c>
      <c r="C31" s="13" t="s">
        <v>15</v>
      </c>
      <c r="D31" s="9">
        <v>1</v>
      </c>
      <c r="E31" s="8">
        <v>15000</v>
      </c>
      <c r="F31" s="8">
        <v>0</v>
      </c>
      <c r="G31" s="13" t="s">
        <v>56</v>
      </c>
    </row>
    <row r="32" spans="1:7" ht="22.05" customHeight="1" x14ac:dyDescent="0.3">
      <c r="A32" s="2" t="s">
        <v>68</v>
      </c>
      <c r="B32" s="2" t="s">
        <v>73</v>
      </c>
      <c r="C32" s="13" t="s">
        <v>12</v>
      </c>
      <c r="D32" s="9">
        <v>1</v>
      </c>
      <c r="E32" s="8">
        <v>10000</v>
      </c>
      <c r="F32" s="8">
        <v>0</v>
      </c>
      <c r="G32" s="13" t="s">
        <v>56</v>
      </c>
    </row>
    <row r="33" spans="1:7" ht="22.05" customHeight="1" x14ac:dyDescent="0.3">
      <c r="A33" s="2" t="s">
        <v>68</v>
      </c>
      <c r="B33" s="2" t="s">
        <v>74</v>
      </c>
      <c r="C33" s="13" t="s">
        <v>12</v>
      </c>
      <c r="D33" s="9">
        <v>1</v>
      </c>
      <c r="E33" s="8">
        <v>10000</v>
      </c>
      <c r="F33" s="8">
        <v>0</v>
      </c>
      <c r="G33" s="13" t="s">
        <v>56</v>
      </c>
    </row>
    <row r="34" spans="1:7" ht="22.05" customHeight="1" x14ac:dyDescent="0.3">
      <c r="A34" s="2" t="s">
        <v>68</v>
      </c>
      <c r="B34" s="2" t="s">
        <v>75</v>
      </c>
      <c r="C34" s="13" t="s">
        <v>12</v>
      </c>
      <c r="D34" s="9">
        <v>1</v>
      </c>
      <c r="E34" s="8">
        <v>10000</v>
      </c>
      <c r="F34" s="8">
        <v>0</v>
      </c>
      <c r="G34" s="13" t="s">
        <v>56</v>
      </c>
    </row>
    <row r="35" spans="1:7" ht="22.05" customHeight="1" x14ac:dyDescent="0.3">
      <c r="A35" s="2" t="s">
        <v>68</v>
      </c>
      <c r="B35" s="2" t="s">
        <v>76</v>
      </c>
      <c r="C35" s="13" t="s">
        <v>12</v>
      </c>
      <c r="D35" s="9">
        <v>1</v>
      </c>
      <c r="E35" s="8">
        <v>10000</v>
      </c>
      <c r="F35" s="8">
        <v>0</v>
      </c>
      <c r="G35" s="13" t="s">
        <v>56</v>
      </c>
    </row>
    <row r="36" spans="1:7" ht="22.05" customHeight="1" x14ac:dyDescent="0.3">
      <c r="A36" s="2" t="s">
        <v>68</v>
      </c>
      <c r="B36" s="2" t="s">
        <v>44</v>
      </c>
      <c r="C36" s="13" t="s">
        <v>12</v>
      </c>
      <c r="D36" s="9">
        <v>1</v>
      </c>
      <c r="E36" s="8">
        <v>10000</v>
      </c>
      <c r="F36" s="8">
        <v>0</v>
      </c>
      <c r="G36" s="13" t="s">
        <v>56</v>
      </c>
    </row>
    <row r="37" spans="1:7" ht="22.05" customHeight="1" x14ac:dyDescent="0.3">
      <c r="A37" s="2" t="s">
        <v>68</v>
      </c>
      <c r="B37" s="2" t="s">
        <v>77</v>
      </c>
      <c r="C37" s="13" t="s">
        <v>15</v>
      </c>
      <c r="D37" s="9">
        <v>1</v>
      </c>
      <c r="E37" s="8">
        <v>15000</v>
      </c>
      <c r="F37" s="8">
        <v>0</v>
      </c>
      <c r="G37" s="13" t="s">
        <v>56</v>
      </c>
    </row>
    <row r="38" spans="1:7" x14ac:dyDescent="0.3">
      <c r="A38" s="2"/>
      <c r="B38" s="2" t="s">
        <v>79</v>
      </c>
      <c r="C38" s="13" t="s">
        <v>11</v>
      </c>
      <c r="D38" s="9">
        <v>2</v>
      </c>
      <c r="E38" s="8">
        <f>D38*IFERROR(VLOOKUP(C38, Inventario!$A$4:$E$9, 5, FALSE), 0)</f>
        <v>8000</v>
      </c>
      <c r="F38" s="8">
        <v>7000</v>
      </c>
      <c r="G38" s="13" t="s">
        <v>61</v>
      </c>
    </row>
    <row r="39" spans="1:7" x14ac:dyDescent="0.3">
      <c r="A39" s="2"/>
      <c r="B39" s="2" t="s">
        <v>80</v>
      </c>
      <c r="C39" s="13" t="s">
        <v>11</v>
      </c>
      <c r="D39" s="9">
        <v>1</v>
      </c>
      <c r="E39" s="8">
        <f>D39*IFERROR(VLOOKUP(C39, Inventario!$A$4:$E$9, 5, FALSE), 0)</f>
        <v>4000</v>
      </c>
      <c r="F39" s="8">
        <v>0</v>
      </c>
      <c r="G39" s="13" t="s">
        <v>56</v>
      </c>
    </row>
    <row r="40" spans="1:7" x14ac:dyDescent="0.3">
      <c r="A40" s="2"/>
      <c r="B40" s="2" t="s">
        <v>88</v>
      </c>
      <c r="C40" s="13" t="s">
        <v>11</v>
      </c>
      <c r="D40" s="9">
        <v>1</v>
      </c>
      <c r="E40" s="8">
        <f>D40*IFERROR(VLOOKUP(C40, Inventario!$A$4:$E$9, 5, FALSE), 0)</f>
        <v>4000</v>
      </c>
      <c r="F40" s="8">
        <v>0</v>
      </c>
      <c r="G40" s="13" t="s">
        <v>56</v>
      </c>
    </row>
    <row r="41" spans="1:7" x14ac:dyDescent="0.3">
      <c r="A41" s="2"/>
      <c r="B41" s="2" t="s">
        <v>44</v>
      </c>
      <c r="C41" s="13" t="s">
        <v>11</v>
      </c>
      <c r="D41" s="9">
        <v>2</v>
      </c>
      <c r="E41" s="8">
        <f>D41*IFERROR(VLOOKUP(C41, Inventario!$A$4:$E$9, 5, FALSE), 0)</f>
        <v>8000</v>
      </c>
      <c r="F41" s="8">
        <v>0</v>
      </c>
      <c r="G41" s="13" t="s">
        <v>61</v>
      </c>
    </row>
    <row r="42" spans="1:7" x14ac:dyDescent="0.3">
      <c r="A42" s="2"/>
      <c r="B42" s="2" t="s">
        <v>76</v>
      </c>
      <c r="C42" s="13" t="s">
        <v>11</v>
      </c>
      <c r="D42" s="9">
        <v>1</v>
      </c>
      <c r="E42" s="8">
        <f>D42*IFERROR(VLOOKUP(C42, Inventario!$A$4:$E$9, 5, FALSE), 0)</f>
        <v>4000</v>
      </c>
      <c r="F42" s="8">
        <v>0</v>
      </c>
      <c r="G42" s="13" t="s">
        <v>56</v>
      </c>
    </row>
    <row r="43" spans="1:7" x14ac:dyDescent="0.3">
      <c r="A43" s="2"/>
      <c r="B43" s="2" t="s">
        <v>89</v>
      </c>
      <c r="C43" s="13" t="s">
        <v>12</v>
      </c>
      <c r="D43" s="9">
        <v>2</v>
      </c>
      <c r="E43" s="8">
        <f>D43*IFERROR(VLOOKUP(C43, Inventario!$A$4:$E$9, 5, FALSE), 0)</f>
        <v>20000</v>
      </c>
      <c r="F43" s="8">
        <v>0</v>
      </c>
      <c r="G43" s="13" t="s">
        <v>56</v>
      </c>
    </row>
    <row r="44" spans="1:7" x14ac:dyDescent="0.3">
      <c r="A44" s="2"/>
      <c r="B44" s="2" t="s">
        <v>89</v>
      </c>
      <c r="C44" s="2" t="s">
        <v>14</v>
      </c>
      <c r="D44" s="9">
        <v>1</v>
      </c>
      <c r="E44" s="8">
        <f>D44*IFERROR(VLOOKUP(C44, Inventario!$A$4:$E$9, 5, FALSE), 0)</f>
        <v>10000</v>
      </c>
      <c r="F44" s="8">
        <v>0</v>
      </c>
      <c r="G44" s="13" t="s">
        <v>56</v>
      </c>
    </row>
    <row r="45" spans="1:7" x14ac:dyDescent="0.3">
      <c r="A45" s="2"/>
      <c r="B45" s="2" t="s">
        <v>45</v>
      </c>
      <c r="C45" s="13" t="s">
        <v>12</v>
      </c>
      <c r="D45" s="9">
        <v>2</v>
      </c>
      <c r="E45" s="8">
        <f>D45*IFERROR(VLOOKUP(C45, Inventario!$A$4:$E$9, 5, FALSE), 0)</f>
        <v>20000</v>
      </c>
      <c r="F45" s="8">
        <v>0</v>
      </c>
      <c r="G45" s="13" t="s">
        <v>61</v>
      </c>
    </row>
    <row r="46" spans="1:7" x14ac:dyDescent="0.3">
      <c r="A46" s="2"/>
      <c r="B46" s="2" t="s">
        <v>92</v>
      </c>
      <c r="C46" s="13" t="s">
        <v>12</v>
      </c>
      <c r="D46" s="9">
        <v>1</v>
      </c>
      <c r="E46" s="8">
        <f>D46*IFERROR(VLOOKUP(C46, Inventario!$A$4:$E$9, 5, FALSE), 0)</f>
        <v>10000</v>
      </c>
      <c r="F46" s="8">
        <v>0</v>
      </c>
      <c r="G46" s="13" t="s">
        <v>61</v>
      </c>
    </row>
    <row r="47" spans="1:7" x14ac:dyDescent="0.3">
      <c r="A47" s="2"/>
      <c r="B47" s="2" t="s">
        <v>92</v>
      </c>
      <c r="C47" s="13" t="s">
        <v>10</v>
      </c>
      <c r="D47" s="9">
        <v>3</v>
      </c>
      <c r="E47" s="8">
        <f>D47*IFERROR(VLOOKUP(C47, Inventario!$A$4:$E$9, 5, FALSE), 0)</f>
        <v>12000</v>
      </c>
      <c r="F47" s="8">
        <v>0</v>
      </c>
      <c r="G47" s="13" t="s">
        <v>61</v>
      </c>
    </row>
    <row r="48" spans="1:7" x14ac:dyDescent="0.3">
      <c r="A48" s="2"/>
      <c r="B48" s="2" t="s">
        <v>42</v>
      </c>
      <c r="C48" s="13" t="s">
        <v>10</v>
      </c>
      <c r="D48" s="9">
        <v>4</v>
      </c>
      <c r="E48" s="8">
        <f>D48*IFERROR(VLOOKUP(C48, Inventario!$A$4:$E$9, 5, FALSE), 0)</f>
        <v>16000</v>
      </c>
      <c r="F48" s="8">
        <v>0</v>
      </c>
      <c r="G48" s="13" t="s">
        <v>61</v>
      </c>
    </row>
    <row r="49" spans="1:7" x14ac:dyDescent="0.3">
      <c r="A49" s="2"/>
      <c r="B49" s="2" t="s">
        <v>78</v>
      </c>
      <c r="C49" s="13" t="s">
        <v>10</v>
      </c>
      <c r="D49" s="9">
        <v>3</v>
      </c>
      <c r="E49" s="8">
        <f>D49*IFERROR(VLOOKUP(C49, Inventario!$A$4:$E$9, 5, FALSE), 0)</f>
        <v>12000</v>
      </c>
      <c r="F49" s="8">
        <v>0</v>
      </c>
      <c r="G49" s="13" t="s">
        <v>61</v>
      </c>
    </row>
    <row r="50" spans="1:7" x14ac:dyDescent="0.3">
      <c r="A50" s="2"/>
      <c r="B50" s="2" t="s">
        <v>93</v>
      </c>
      <c r="C50" s="13" t="s">
        <v>91</v>
      </c>
      <c r="D50" s="9">
        <v>3</v>
      </c>
      <c r="E50" s="8">
        <f>D50*IFERROR(VLOOKUP(C50, Inventario!$A$4:$E$9, 5, FALSE), 0)</f>
        <v>0</v>
      </c>
      <c r="F50" s="8">
        <v>0</v>
      </c>
      <c r="G50" s="13"/>
    </row>
    <row r="51" spans="1:7" x14ac:dyDescent="0.3">
      <c r="A51" s="2"/>
      <c r="B51" s="2" t="s">
        <v>94</v>
      </c>
      <c r="C51" s="13" t="s">
        <v>91</v>
      </c>
      <c r="D51" s="9">
        <v>1</v>
      </c>
      <c r="E51" s="8">
        <f>D51*IFERROR(VLOOKUP(C51, Inventario!$A$4:$E$9, 5, FALSE), 0)</f>
        <v>0</v>
      </c>
      <c r="F51" s="8">
        <v>0</v>
      </c>
      <c r="G51" s="13"/>
    </row>
    <row r="52" spans="1:7" x14ac:dyDescent="0.3">
      <c r="A52" s="2"/>
      <c r="B52" s="2" t="s">
        <v>74</v>
      </c>
      <c r="C52" s="13" t="s">
        <v>91</v>
      </c>
      <c r="D52" s="9">
        <v>2</v>
      </c>
      <c r="E52" s="8">
        <f>D52*IFERROR(VLOOKUP(C52, Inventario!$A$4:$E$9, 5, FALSE), 0)</f>
        <v>0</v>
      </c>
      <c r="F52" s="8">
        <v>0</v>
      </c>
      <c r="G52" s="13"/>
    </row>
    <row r="53" spans="1:7" x14ac:dyDescent="0.3">
      <c r="A53" s="2"/>
      <c r="B53" s="2"/>
      <c r="C53" s="13"/>
      <c r="D53" s="9"/>
      <c r="E53" s="8">
        <f>D53*IFERROR(VLOOKUP(C53, Inventario!$A$4:$E$9, 5, FALSE), 0)</f>
        <v>0</v>
      </c>
      <c r="F53" s="8">
        <v>0</v>
      </c>
      <c r="G53" s="13"/>
    </row>
    <row r="54" spans="1:7" x14ac:dyDescent="0.3">
      <c r="A54" s="2"/>
      <c r="B54" s="2"/>
      <c r="C54" s="13"/>
      <c r="D54" s="9"/>
      <c r="E54" s="8">
        <f>D54*IFERROR(VLOOKUP(C54, Inventario!$A$4:$E$9, 5, FALSE), 0)</f>
        <v>0</v>
      </c>
      <c r="F54" s="8">
        <v>0</v>
      </c>
      <c r="G54" s="13"/>
    </row>
    <row r="55" spans="1:7" x14ac:dyDescent="0.3">
      <c r="A55" s="2"/>
      <c r="B55" s="2"/>
      <c r="C55" s="13"/>
      <c r="D55" s="9"/>
      <c r="E55" s="8">
        <f>D55*IFERROR(VLOOKUP(C55, Inventario!$A$4:$E$9, 5, FALSE), 0)</f>
        <v>0</v>
      </c>
      <c r="F55" s="8">
        <v>0</v>
      </c>
      <c r="G55" s="13"/>
    </row>
    <row r="56" spans="1:7" x14ac:dyDescent="0.3">
      <c r="A56" s="2"/>
      <c r="B56" s="2"/>
      <c r="C56" s="13"/>
      <c r="D56" s="9"/>
      <c r="E56" s="8">
        <f>D56*IFERROR(VLOOKUP(C56, Inventario!$A$4:$E$9, 5, FALSE), 0)</f>
        <v>0</v>
      </c>
      <c r="F56" s="8">
        <v>0</v>
      </c>
      <c r="G56" s="13"/>
    </row>
    <row r="57" spans="1:7" x14ac:dyDescent="0.3">
      <c r="A57" s="2"/>
      <c r="B57" s="2"/>
      <c r="C57" s="13"/>
      <c r="D57" s="9"/>
      <c r="E57" s="8">
        <f>D57*IFERROR(VLOOKUP(C57, Inventario!$A$4:$E$9, 5, FALSE), 0)</f>
        <v>0</v>
      </c>
      <c r="F57" s="8">
        <v>0</v>
      </c>
      <c r="G57" s="13"/>
    </row>
    <row r="58" spans="1:7" x14ac:dyDescent="0.3">
      <c r="A58" s="2"/>
      <c r="B58" s="2"/>
      <c r="C58" s="13"/>
      <c r="D58" s="9"/>
      <c r="E58" s="8">
        <f>D58*IFERROR(VLOOKUP(C58, Inventario!$A$4:$E$9, 5, FALSE), 0)</f>
        <v>0</v>
      </c>
      <c r="F58" s="8">
        <v>0</v>
      </c>
      <c r="G58" s="13"/>
    </row>
    <row r="59" spans="1:7" x14ac:dyDescent="0.3">
      <c r="A59" s="2"/>
      <c r="B59" s="2"/>
      <c r="C59" s="13"/>
      <c r="D59" s="9"/>
      <c r="E59" s="8">
        <f>D59*IFERROR(VLOOKUP(C59, Inventario!$A$4:$E$9, 5, FALSE), 0)</f>
        <v>0</v>
      </c>
      <c r="F59" s="8">
        <v>0</v>
      </c>
      <c r="G59" s="13"/>
    </row>
    <row r="60" spans="1:7" x14ac:dyDescent="0.3">
      <c r="A60" s="2"/>
      <c r="B60" s="2"/>
      <c r="C60" s="13"/>
      <c r="D60" s="9"/>
      <c r="E60" s="8">
        <f>D60*IFERROR(VLOOKUP(C60, Inventario!$A$4:$E$9, 5, FALSE), 0)</f>
        <v>0</v>
      </c>
      <c r="F60" s="8">
        <v>0</v>
      </c>
      <c r="G60" s="13"/>
    </row>
    <row r="61" spans="1:7" x14ac:dyDescent="0.3">
      <c r="A61" s="2"/>
      <c r="B61" s="2"/>
      <c r="C61" s="13"/>
      <c r="D61" s="9"/>
      <c r="E61" s="8">
        <f>D61*IFERROR(VLOOKUP(C61, Inventario!$A$4:$E$9, 5, FALSE), 0)</f>
        <v>0</v>
      </c>
      <c r="F61" s="8">
        <v>0</v>
      </c>
      <c r="G61" s="13"/>
    </row>
    <row r="62" spans="1:7" x14ac:dyDescent="0.3">
      <c r="A62" s="2"/>
      <c r="B62" s="2"/>
      <c r="C62" s="13"/>
      <c r="D62" s="9"/>
      <c r="E62" s="8">
        <f>D62*IFERROR(VLOOKUP(C62, Inventario!$A$4:$E$9, 5, FALSE), 0)</f>
        <v>0</v>
      </c>
      <c r="F62" s="8">
        <v>0</v>
      </c>
      <c r="G62" s="13"/>
    </row>
    <row r="63" spans="1:7" x14ac:dyDescent="0.3">
      <c r="A63" s="2"/>
      <c r="B63" s="2"/>
      <c r="C63" s="13"/>
      <c r="D63" s="9"/>
      <c r="E63" s="8">
        <f>D63*IFERROR(VLOOKUP(C63, Inventario!$A$4:$E$9, 5, FALSE), 0)</f>
        <v>0</v>
      </c>
      <c r="F63" s="8">
        <v>0</v>
      </c>
      <c r="G63" s="13"/>
    </row>
    <row r="64" spans="1:7" x14ac:dyDescent="0.3">
      <c r="A64" s="2"/>
      <c r="B64" s="2"/>
      <c r="C64" s="13"/>
      <c r="D64" s="9"/>
      <c r="E64" s="8">
        <f>D64*IFERROR(VLOOKUP(C64, Inventario!$A$4:$E$9, 5, FALSE), 0)</f>
        <v>0</v>
      </c>
      <c r="F64" s="8">
        <v>0</v>
      </c>
      <c r="G64" s="13"/>
    </row>
    <row r="65" spans="1:7" x14ac:dyDescent="0.3">
      <c r="A65" s="2"/>
      <c r="B65" s="2"/>
      <c r="C65" s="13"/>
      <c r="D65" s="9"/>
      <c r="E65" s="8">
        <f>D65*IFERROR(VLOOKUP(C65, Inventario!$A$4:$E$9, 5, FALSE), 0)</f>
        <v>0</v>
      </c>
      <c r="F65" s="8">
        <v>0</v>
      </c>
      <c r="G65" s="13"/>
    </row>
    <row r="66" spans="1:7" x14ac:dyDescent="0.3">
      <c r="A66" s="2"/>
      <c r="B66" s="2"/>
      <c r="C66" s="13"/>
      <c r="D66" s="9"/>
      <c r="E66" s="8">
        <f>D66*IFERROR(VLOOKUP(C66, Inventario!$A$4:$E$9, 5, FALSE), 0)</f>
        <v>0</v>
      </c>
      <c r="F66" s="8">
        <v>0</v>
      </c>
      <c r="G66" s="13"/>
    </row>
    <row r="67" spans="1:7" x14ac:dyDescent="0.3">
      <c r="A67" s="2"/>
      <c r="B67" s="2"/>
      <c r="C67" s="13"/>
      <c r="D67" s="9"/>
      <c r="E67" s="8">
        <f>D67*IFERROR(VLOOKUP(C67, Inventario!$A$4:$E$9, 5, FALSE), 0)</f>
        <v>0</v>
      </c>
      <c r="F67" s="8">
        <v>0</v>
      </c>
      <c r="G67" s="13"/>
    </row>
  </sheetData>
  <mergeCells count="1">
    <mergeCell ref="A1:G1"/>
  </mergeCells>
  <dataValidations count="1">
    <dataValidation type="list" sqref="G4:G68" xr:uid="{00000000-0002-0000-0300-000000000000}">
      <formula1>"Pagado,Pendiente"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9"/>
  <sheetViews>
    <sheetView workbookViewId="0">
      <pane ySplit="3" topLeftCell="A4" activePane="bottomLeft" state="frozen"/>
      <selection pane="bottomLeft" activeCell="C9" sqref="A1:C9"/>
    </sheetView>
  </sheetViews>
  <sheetFormatPr baseColWidth="10" defaultColWidth="8.88671875" defaultRowHeight="14.4" x14ac:dyDescent="0.3"/>
  <cols>
    <col min="1" max="1" width="15" customWidth="1"/>
    <col min="2" max="2" width="36" customWidth="1"/>
    <col min="3" max="3" width="15" customWidth="1"/>
  </cols>
  <sheetData>
    <row r="1" spans="1:3" ht="40.049999999999997" customHeight="1" x14ac:dyDescent="0.3">
      <c r="A1" s="26" t="s">
        <v>81</v>
      </c>
      <c r="B1" s="25"/>
      <c r="C1" s="25"/>
    </row>
    <row r="3" spans="1:3" ht="25.05" customHeight="1" x14ac:dyDescent="0.3">
      <c r="A3" s="1" t="s">
        <v>49</v>
      </c>
      <c r="B3" s="1" t="s">
        <v>20</v>
      </c>
      <c r="C3" s="1" t="s">
        <v>82</v>
      </c>
    </row>
    <row r="4" spans="1:3" ht="22.05" customHeight="1" x14ac:dyDescent="0.3">
      <c r="A4" s="2" t="s">
        <v>54</v>
      </c>
      <c r="B4" s="2" t="s">
        <v>83</v>
      </c>
      <c r="C4" s="8">
        <v>295000</v>
      </c>
    </row>
    <row r="5" spans="1:3" ht="22.05" customHeight="1" x14ac:dyDescent="0.3">
      <c r="A5" s="4" t="s">
        <v>65</v>
      </c>
      <c r="B5" s="4" t="s">
        <v>84</v>
      </c>
      <c r="C5" s="10">
        <v>62500</v>
      </c>
    </row>
    <row r="6" spans="1:3" ht="22.05" customHeight="1" x14ac:dyDescent="0.3">
      <c r="A6" s="2" t="s">
        <v>65</v>
      </c>
      <c r="B6" s="2" t="s">
        <v>85</v>
      </c>
      <c r="C6" s="8">
        <v>80000</v>
      </c>
    </row>
    <row r="7" spans="1:3" ht="22.05" customHeight="1" x14ac:dyDescent="0.3">
      <c r="A7" s="4" t="s">
        <v>86</v>
      </c>
      <c r="B7" s="4" t="s">
        <v>87</v>
      </c>
      <c r="C7" s="10">
        <v>144000</v>
      </c>
    </row>
    <row r="8" spans="1:3" x14ac:dyDescent="0.3">
      <c r="A8" s="2"/>
      <c r="B8" s="2" t="s">
        <v>90</v>
      </c>
      <c r="C8" s="8">
        <v>45000</v>
      </c>
    </row>
    <row r="9" spans="1:3" x14ac:dyDescent="0.3">
      <c r="A9" s="2"/>
      <c r="B9" s="2" t="s">
        <v>91</v>
      </c>
      <c r="C9" s="8">
        <v>20000</v>
      </c>
    </row>
    <row r="10" spans="1:3" x14ac:dyDescent="0.3">
      <c r="A10" s="2"/>
      <c r="B10" s="2"/>
      <c r="C10" s="8"/>
    </row>
    <row r="11" spans="1:3" x14ac:dyDescent="0.3">
      <c r="A11" s="2"/>
      <c r="B11" s="2"/>
      <c r="C11" s="8"/>
    </row>
    <row r="12" spans="1:3" x14ac:dyDescent="0.3">
      <c r="A12" s="2"/>
      <c r="B12" s="2"/>
      <c r="C12" s="8"/>
    </row>
    <row r="13" spans="1:3" x14ac:dyDescent="0.3">
      <c r="A13" s="2"/>
      <c r="B13" s="2"/>
      <c r="C13" s="8"/>
    </row>
    <row r="14" spans="1:3" x14ac:dyDescent="0.3">
      <c r="A14" s="2"/>
      <c r="B14" s="2"/>
      <c r="C14" s="8"/>
    </row>
    <row r="15" spans="1:3" x14ac:dyDescent="0.3">
      <c r="A15" s="2"/>
      <c r="B15" s="2"/>
      <c r="C15" s="8"/>
    </row>
    <row r="16" spans="1:3" x14ac:dyDescent="0.3">
      <c r="A16" s="2"/>
      <c r="B16" s="2"/>
      <c r="C16" s="8"/>
    </row>
    <row r="17" spans="1:3" x14ac:dyDescent="0.3">
      <c r="A17" s="2"/>
      <c r="B17" s="2"/>
      <c r="C17" s="8"/>
    </row>
    <row r="18" spans="1:3" x14ac:dyDescent="0.3">
      <c r="A18" s="2"/>
      <c r="B18" s="2"/>
      <c r="C18" s="8"/>
    </row>
    <row r="19" spans="1:3" x14ac:dyDescent="0.3">
      <c r="A19" s="2"/>
      <c r="B19" s="2"/>
      <c r="C19" s="8"/>
    </row>
    <row r="20" spans="1:3" x14ac:dyDescent="0.3">
      <c r="A20" s="2"/>
      <c r="B20" s="2"/>
      <c r="C20" s="8"/>
    </row>
    <row r="21" spans="1:3" x14ac:dyDescent="0.3">
      <c r="A21" s="2"/>
      <c r="B21" s="2"/>
      <c r="C21" s="8"/>
    </row>
    <row r="22" spans="1:3" x14ac:dyDescent="0.3">
      <c r="A22" s="2"/>
      <c r="B22" s="2"/>
      <c r="C22" s="8"/>
    </row>
    <row r="23" spans="1:3" x14ac:dyDescent="0.3">
      <c r="A23" s="2"/>
      <c r="B23" s="2"/>
      <c r="C23" s="8"/>
    </row>
    <row r="24" spans="1:3" x14ac:dyDescent="0.3">
      <c r="A24" s="2"/>
      <c r="B24" s="2"/>
      <c r="C24" s="8"/>
    </row>
    <row r="25" spans="1:3" x14ac:dyDescent="0.3">
      <c r="A25" s="2"/>
      <c r="B25" s="2"/>
      <c r="C25" s="8"/>
    </row>
    <row r="26" spans="1:3" x14ac:dyDescent="0.3">
      <c r="A26" s="2"/>
      <c r="B26" s="2"/>
      <c r="C26" s="8"/>
    </row>
    <row r="27" spans="1:3" x14ac:dyDescent="0.3">
      <c r="A27" s="2"/>
      <c r="B27" s="2"/>
      <c r="C27" s="8"/>
    </row>
    <row r="28" spans="1:3" x14ac:dyDescent="0.3">
      <c r="A28" s="2"/>
      <c r="B28" s="2"/>
      <c r="C28" s="8"/>
    </row>
    <row r="29" spans="1:3" x14ac:dyDescent="0.3">
      <c r="A29" s="2"/>
      <c r="B29" s="2"/>
      <c r="C29" s="8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 Financiero</vt:lpstr>
      <vt:lpstr>Deudores</vt:lpstr>
      <vt:lpstr>Inventario</vt:lpstr>
      <vt:lpstr>Ventas</vt:lpstr>
      <vt:lpstr>Compras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Jaimes</cp:lastModifiedBy>
  <dcterms:created xsi:type="dcterms:W3CDTF">2026-06-18T15:27:47Z</dcterms:created>
  <dcterms:modified xsi:type="dcterms:W3CDTF">2026-06-23T15:28:54Z</dcterms:modified>
</cp:coreProperties>
</file>